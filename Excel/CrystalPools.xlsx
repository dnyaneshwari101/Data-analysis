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nyan\Downloads\"/>
    </mc:Choice>
  </mc:AlternateContent>
  <xr:revisionPtr revIDLastSave="0" documentId="13_ncr:1_{09F98566-C7CE-46D1-8C59-01370A072AF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2" i="1"/>
</calcChain>
</file>

<file path=xl/sharedStrings.xml><?xml version="1.0" encoding="utf-8"?>
<sst xmlns="http://schemas.openxmlformats.org/spreadsheetml/2006/main" count="869" uniqueCount="50">
  <si>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</si>
  <si>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</si>
  <si>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</si>
  <si>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</si>
  <si>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</si>
  <si>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</si>
  <si>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</si>
  <si>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</si>
  <si>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</si>
  <si>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</si>
  <si>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</si>
  <si>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</si>
  <si>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</si>
  <si>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</si>
  <si>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</si>
  <si>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</si>
  <si>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</si>
  <si>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</si>
  <si>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</si>
  <si>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</si>
  <si>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</si>
  <si>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</si>
  <si>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</si>
  <si>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</si>
  <si>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</si>
  <si>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</si>
  <si>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</si>
  <si>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</si>
  <si>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</si>
  <si>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</si>
  <si>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</si>
  <si>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</si>
  <si>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</si>
  <si>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</si>
  <si>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</si>
  <si>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</si>
  <si>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</si>
  <si>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</si>
  <si>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</si>
  <si>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</si>
  <si>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</si>
  <si>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</si>
  <si>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</si>
  <si>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</si>
  <si>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</si>
  <si>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</si>
  <si>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Commision 10% for items less than $50. 20% for items more than $50</t>
  </si>
  <si>
    <t>Sum of all items</t>
  </si>
  <si>
    <t>Sum of items valued more than 50$</t>
  </si>
  <si>
    <t>Sum of items valued at 50$ or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</si>
</sst>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44" fontId="0" fillId="0" borderId="0" xfId="44" applyFont="1"/>
    <xf numFmtId="44" fontId="0" fillId="0" borderId="0" xfId="44" applyFont="1" applyAlignment="1">
      <alignment wrapText="1"/>
    </xf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tabSelected="1" topLeftCell="A174" workbookViewId="0">
      <selection activeCell="E177" sqref="E177"/>
    </sheetView>
  </sheetViews>
  <sheetFormatPr defaultColWidth="11" defaultRowHeight="15.6"/>
  <cols>
    <col min="1" max="1" width="6.59765625" bestFit="1" customWidth="1"/>
    <col min="2" max="2" width="10.69921875" bestFit="1" customWidth="1"/>
    <col min="3" max="3" width="7.3984375" bestFit="1" customWidth="1"/>
    <col min="4" max="4" width="17.59765625" bestFit="1" customWidth="1"/>
    <col min="5" max="6" width="11.09765625" style="4" bestFit="1" customWidth="1"/>
    <col min="7" max="7" width="8.59765625" style="4" bestFit="1" customWidth="1"/>
    <col min="8" max="8" width="10.296875" customWidth="1"/>
    <col min="9" max="9" width="14.296875" bestFit="1" customWidth="1"/>
    <col min="11" max="11" width="11.8984375" bestFit="1" customWidth="1"/>
  </cols>
  <sheetData>
    <row r="1" spans="1:11" ht="124.8">
      <c r="A1" s="3" t="s">
        <v>22</v>
      </c>
      <c r="B1" s="3" t="s">
        <v>35</v>
      </c>
      <c r="C1" s="3" t="s">
        <v>0</v>
      </c>
      <c r="D1" s="3" t="s">
        <v>1</v>
      </c>
      <c r="E1" s="5" t="s">
        <v>2</v>
      </c>
      <c r="F1" s="5" t="s">
        <v>3</v>
      </c>
      <c r="G1" s="5" t="s">
        <v>4</v>
      </c>
      <c r="H1" s="3" t="s">
        <v>46</v>
      </c>
      <c r="I1" s="3" t="s">
        <v>44</v>
      </c>
      <c r="J1" s="3" t="s">
        <v>45</v>
      </c>
      <c r="K1" s="3" t="s">
        <v>15</v>
      </c>
    </row>
    <row r="2" spans="1:11">
      <c r="A2" s="1" t="s">
        <v>23</v>
      </c>
      <c r="B2" s="2">
        <v>1001</v>
      </c>
      <c r="C2">
        <v>9822</v>
      </c>
      <c r="D2" t="s">
        <v>5</v>
      </c>
      <c r="E2" s="4">
        <v>58.3</v>
      </c>
      <c r="F2" s="4">
        <v>98.4</v>
      </c>
      <c r="G2" s="4">
        <f>F2-E2</f>
        <v>40.100000000000009</v>
      </c>
      <c r="H2">
        <f>IF(F2&gt;50,G2*0.2,G2*0.1)</f>
        <v>8.0200000000000014</v>
      </c>
      <c r="I2" t="s">
        <v>36</v>
      </c>
      <c r="J2" t="s">
        <v>37</v>
      </c>
      <c r="K2" t="s">
        <v>19</v>
      </c>
    </row>
    <row r="3" spans="1:11">
      <c r="A3" s="1" t="s">
        <v>23</v>
      </c>
      <c r="B3" s="2">
        <v>1002</v>
      </c>
      <c r="C3">
        <v>2877</v>
      </c>
      <c r="D3" t="s">
        <v>11</v>
      </c>
      <c r="E3" s="4">
        <v>11.4</v>
      </c>
      <c r="F3" s="4">
        <v>16.3</v>
      </c>
      <c r="G3" s="4">
        <f t="shared" ref="G3:G66" si="0">F3-E3</f>
        <v>4.9000000000000004</v>
      </c>
      <c r="H3">
        <f t="shared" ref="H3:H66" si="1">IF(F3&gt;50,G3*0.2,G3*0.1)</f>
        <v>0.49000000000000005</v>
      </c>
      <c r="I3" t="s">
        <v>38</v>
      </c>
      <c r="J3" t="s">
        <v>39</v>
      </c>
      <c r="K3" t="s">
        <v>18</v>
      </c>
    </row>
    <row r="4" spans="1:11">
      <c r="A4" s="1" t="s">
        <v>23</v>
      </c>
      <c r="B4" s="2">
        <v>1003</v>
      </c>
      <c r="C4">
        <v>2499</v>
      </c>
      <c r="D4" t="s">
        <v>12</v>
      </c>
      <c r="E4" s="4">
        <v>6.2</v>
      </c>
      <c r="F4" s="4">
        <v>9.1999999999999993</v>
      </c>
      <c r="G4" s="4">
        <f t="shared" si="0"/>
        <v>2.9999999999999991</v>
      </c>
      <c r="H4">
        <f t="shared" si="1"/>
        <v>0.29999999999999993</v>
      </c>
      <c r="I4" t="s">
        <v>40</v>
      </c>
      <c r="J4" t="s">
        <v>41</v>
      </c>
      <c r="K4" t="s">
        <v>16</v>
      </c>
    </row>
    <row r="5" spans="1:11">
      <c r="A5" s="1" t="s">
        <v>23</v>
      </c>
      <c r="B5" s="2">
        <v>1004</v>
      </c>
      <c r="C5">
        <v>8722</v>
      </c>
      <c r="D5" t="s">
        <v>6</v>
      </c>
      <c r="E5" s="4">
        <v>344</v>
      </c>
      <c r="F5" s="4">
        <v>502</v>
      </c>
      <c r="G5" s="4">
        <f t="shared" si="0"/>
        <v>158</v>
      </c>
      <c r="H5">
        <f t="shared" si="1"/>
        <v>31.6</v>
      </c>
      <c r="I5" t="s">
        <v>36</v>
      </c>
      <c r="J5" t="s">
        <v>37</v>
      </c>
      <c r="K5" t="s">
        <v>16</v>
      </c>
    </row>
    <row r="6" spans="1:11">
      <c r="A6" s="1" t="s">
        <v>23</v>
      </c>
      <c r="B6" s="2">
        <v>1005</v>
      </c>
      <c r="C6">
        <v>1109</v>
      </c>
      <c r="D6" t="s">
        <v>14</v>
      </c>
      <c r="E6" s="4">
        <v>3</v>
      </c>
      <c r="F6" s="4">
        <v>8</v>
      </c>
      <c r="G6" s="4">
        <f t="shared" si="0"/>
        <v>5</v>
      </c>
      <c r="H6">
        <f t="shared" si="1"/>
        <v>0.5</v>
      </c>
      <c r="I6" t="s">
        <v>40</v>
      </c>
      <c r="J6" t="s">
        <v>41</v>
      </c>
      <c r="K6" t="s">
        <v>16</v>
      </c>
    </row>
    <row r="7" spans="1:11">
      <c r="A7" s="1" t="s">
        <v>23</v>
      </c>
      <c r="B7" s="2">
        <v>1006</v>
      </c>
      <c r="C7">
        <v>9822</v>
      </c>
      <c r="D7" t="s">
        <v>5</v>
      </c>
      <c r="E7" s="4">
        <v>58.3</v>
      </c>
      <c r="F7" s="4">
        <v>98.4</v>
      </c>
      <c r="G7" s="4">
        <f t="shared" si="0"/>
        <v>40.100000000000009</v>
      </c>
      <c r="H7">
        <f t="shared" si="1"/>
        <v>8.0200000000000014</v>
      </c>
      <c r="I7" t="s">
        <v>40</v>
      </c>
      <c r="J7" t="s">
        <v>41</v>
      </c>
      <c r="K7" t="s">
        <v>16</v>
      </c>
    </row>
    <row r="8" spans="1:11">
      <c r="A8" s="1" t="s">
        <v>23</v>
      </c>
      <c r="B8" s="2">
        <v>1007</v>
      </c>
      <c r="C8">
        <v>1109</v>
      </c>
      <c r="D8" t="s">
        <v>14</v>
      </c>
      <c r="E8" s="4">
        <v>3</v>
      </c>
      <c r="F8" s="4">
        <v>8</v>
      </c>
      <c r="G8" s="4">
        <f t="shared" si="0"/>
        <v>5</v>
      </c>
      <c r="H8">
        <f t="shared" si="1"/>
        <v>0.5</v>
      </c>
      <c r="I8" t="s">
        <v>42</v>
      </c>
      <c r="J8" t="s">
        <v>43</v>
      </c>
      <c r="K8" t="s">
        <v>19</v>
      </c>
    </row>
    <row r="9" spans="1:11">
      <c r="A9" s="1" t="s">
        <v>23</v>
      </c>
      <c r="B9" s="2">
        <v>1008</v>
      </c>
      <c r="C9">
        <v>2877</v>
      </c>
      <c r="D9" t="s">
        <v>11</v>
      </c>
      <c r="E9" s="4">
        <v>11.4</v>
      </c>
      <c r="F9" s="4">
        <v>16.3</v>
      </c>
      <c r="G9" s="4">
        <f t="shared" si="0"/>
        <v>4.9000000000000004</v>
      </c>
      <c r="H9">
        <f t="shared" si="1"/>
        <v>0.49000000000000005</v>
      </c>
      <c r="I9" t="s">
        <v>40</v>
      </c>
      <c r="J9" t="s">
        <v>41</v>
      </c>
      <c r="K9" t="s">
        <v>19</v>
      </c>
    </row>
    <row r="10" spans="1:11">
      <c r="A10" s="1" t="s">
        <v>23</v>
      </c>
      <c r="B10" s="2">
        <v>1009</v>
      </c>
      <c r="C10">
        <v>1109</v>
      </c>
      <c r="D10" t="s">
        <v>14</v>
      </c>
      <c r="E10" s="4">
        <v>3</v>
      </c>
      <c r="F10" s="4">
        <v>8</v>
      </c>
      <c r="G10" s="4">
        <f t="shared" si="0"/>
        <v>5</v>
      </c>
      <c r="H10">
        <f t="shared" si="1"/>
        <v>0.5</v>
      </c>
      <c r="I10" t="s">
        <v>40</v>
      </c>
      <c r="J10" t="s">
        <v>41</v>
      </c>
      <c r="K10" t="s">
        <v>16</v>
      </c>
    </row>
    <row r="11" spans="1:11">
      <c r="A11" s="1" t="s">
        <v>23</v>
      </c>
      <c r="B11" s="2">
        <v>1010</v>
      </c>
      <c r="C11">
        <v>2877</v>
      </c>
      <c r="D11" t="s">
        <v>11</v>
      </c>
      <c r="E11" s="4">
        <v>11.4</v>
      </c>
      <c r="F11" s="4">
        <v>16.3</v>
      </c>
      <c r="G11" s="4">
        <f t="shared" si="0"/>
        <v>4.9000000000000004</v>
      </c>
      <c r="H11">
        <f t="shared" si="1"/>
        <v>0.49000000000000005</v>
      </c>
      <c r="I11" t="s">
        <v>38</v>
      </c>
      <c r="J11" t="s">
        <v>39</v>
      </c>
      <c r="K11" t="s">
        <v>20</v>
      </c>
    </row>
    <row r="12" spans="1:11">
      <c r="A12" s="1" t="s">
        <v>23</v>
      </c>
      <c r="B12" s="2">
        <v>1011</v>
      </c>
      <c r="C12">
        <v>2877</v>
      </c>
      <c r="D12" t="s">
        <v>11</v>
      </c>
      <c r="E12" s="4">
        <v>11.4</v>
      </c>
      <c r="F12" s="4">
        <v>16.3</v>
      </c>
      <c r="G12" s="4">
        <f t="shared" si="0"/>
        <v>4.9000000000000004</v>
      </c>
      <c r="H12">
        <f t="shared" si="1"/>
        <v>0.49000000000000005</v>
      </c>
      <c r="I12" t="s">
        <v>38</v>
      </c>
      <c r="J12" t="s">
        <v>39</v>
      </c>
      <c r="K12" t="s">
        <v>16</v>
      </c>
    </row>
    <row r="13" spans="1:11">
      <c r="A13" s="1" t="s">
        <v>23</v>
      </c>
      <c r="B13" s="2">
        <v>1012</v>
      </c>
      <c r="C13">
        <v>4421</v>
      </c>
      <c r="D13" t="s">
        <v>9</v>
      </c>
      <c r="E13" s="4">
        <v>45</v>
      </c>
      <c r="F13" s="4">
        <v>87</v>
      </c>
      <c r="G13" s="4">
        <f t="shared" si="0"/>
        <v>42</v>
      </c>
      <c r="H13">
        <f t="shared" si="1"/>
        <v>8.4</v>
      </c>
      <c r="I13" t="s">
        <v>40</v>
      </c>
      <c r="J13" t="s">
        <v>41</v>
      </c>
      <c r="K13" t="s">
        <v>19</v>
      </c>
    </row>
    <row r="14" spans="1:11">
      <c r="A14" s="1" t="s">
        <v>23</v>
      </c>
      <c r="B14" s="2">
        <v>1013</v>
      </c>
      <c r="C14">
        <v>9212</v>
      </c>
      <c r="D14" t="s">
        <v>10</v>
      </c>
      <c r="E14" s="4">
        <v>4</v>
      </c>
      <c r="F14" s="4">
        <v>7</v>
      </c>
      <c r="G14" s="4">
        <f t="shared" si="0"/>
        <v>3</v>
      </c>
      <c r="H14">
        <f t="shared" si="1"/>
        <v>0.30000000000000004</v>
      </c>
      <c r="I14" t="s">
        <v>42</v>
      </c>
      <c r="J14" t="s">
        <v>43</v>
      </c>
      <c r="K14" t="s">
        <v>20</v>
      </c>
    </row>
    <row r="15" spans="1:11">
      <c r="A15" s="1" t="s">
        <v>23</v>
      </c>
      <c r="B15" s="2">
        <v>1014</v>
      </c>
      <c r="C15">
        <v>8722</v>
      </c>
      <c r="D15" t="s">
        <v>6</v>
      </c>
      <c r="E15" s="4">
        <v>344</v>
      </c>
      <c r="F15" s="4">
        <v>502</v>
      </c>
      <c r="G15" s="4">
        <f t="shared" si="0"/>
        <v>158</v>
      </c>
      <c r="H15">
        <f t="shared" si="1"/>
        <v>31.6</v>
      </c>
      <c r="I15" t="s">
        <v>36</v>
      </c>
      <c r="J15" t="s">
        <v>37</v>
      </c>
      <c r="K15" t="s">
        <v>18</v>
      </c>
    </row>
    <row r="16" spans="1:11">
      <c r="A16" s="1" t="s">
        <v>23</v>
      </c>
      <c r="B16" s="2">
        <v>1015</v>
      </c>
      <c r="C16">
        <v>2877</v>
      </c>
      <c r="D16" t="s">
        <v>11</v>
      </c>
      <c r="E16" s="4">
        <v>11.4</v>
      </c>
      <c r="F16" s="4">
        <v>16.3</v>
      </c>
      <c r="G16" s="4">
        <f t="shared" si="0"/>
        <v>4.9000000000000004</v>
      </c>
      <c r="H16">
        <f t="shared" si="1"/>
        <v>0.49000000000000005</v>
      </c>
      <c r="I16" t="s">
        <v>42</v>
      </c>
      <c r="J16" t="s">
        <v>43</v>
      </c>
      <c r="K16" t="s">
        <v>16</v>
      </c>
    </row>
    <row r="17" spans="1:11">
      <c r="A17" s="1" t="s">
        <v>23</v>
      </c>
      <c r="B17" s="2">
        <v>1016</v>
      </c>
      <c r="C17">
        <v>2499</v>
      </c>
      <c r="D17" t="s">
        <v>12</v>
      </c>
      <c r="E17" s="4">
        <v>6.2</v>
      </c>
      <c r="F17" s="4">
        <v>9.1999999999999993</v>
      </c>
      <c r="G17" s="4">
        <f t="shared" si="0"/>
        <v>2.9999999999999991</v>
      </c>
      <c r="H17">
        <f t="shared" si="1"/>
        <v>0.29999999999999993</v>
      </c>
      <c r="I17" t="s">
        <v>40</v>
      </c>
      <c r="J17" t="s">
        <v>41</v>
      </c>
      <c r="K17" t="s">
        <v>18</v>
      </c>
    </row>
    <row r="18" spans="1:11">
      <c r="A18" s="1" t="s">
        <v>24</v>
      </c>
      <c r="B18" s="2">
        <v>1017</v>
      </c>
      <c r="C18">
        <v>2242</v>
      </c>
      <c r="D18" t="s">
        <v>8</v>
      </c>
      <c r="E18" s="4">
        <v>60</v>
      </c>
      <c r="F18" s="4">
        <v>124</v>
      </c>
      <c r="G18" s="4">
        <f t="shared" si="0"/>
        <v>64</v>
      </c>
      <c r="H18">
        <f t="shared" si="1"/>
        <v>12.8</v>
      </c>
      <c r="I18" t="s">
        <v>38</v>
      </c>
      <c r="J18" t="s">
        <v>39</v>
      </c>
      <c r="K18" t="s">
        <v>19</v>
      </c>
    </row>
    <row r="19" spans="1:11">
      <c r="A19" s="1" t="s">
        <v>24</v>
      </c>
      <c r="B19" s="2">
        <v>1018</v>
      </c>
      <c r="C19">
        <v>1109</v>
      </c>
      <c r="D19" t="s">
        <v>14</v>
      </c>
      <c r="E19" s="4">
        <v>3</v>
      </c>
      <c r="F19" s="4">
        <v>8</v>
      </c>
      <c r="G19" s="4">
        <f t="shared" si="0"/>
        <v>5</v>
      </c>
      <c r="H19">
        <f t="shared" si="1"/>
        <v>0.5</v>
      </c>
      <c r="I19" t="s">
        <v>40</v>
      </c>
      <c r="J19" t="s">
        <v>41</v>
      </c>
      <c r="K19" t="s">
        <v>18</v>
      </c>
    </row>
    <row r="20" spans="1:11">
      <c r="A20" s="1" t="s">
        <v>24</v>
      </c>
      <c r="B20" s="2">
        <v>1019</v>
      </c>
      <c r="C20">
        <v>2499</v>
      </c>
      <c r="D20" t="s">
        <v>12</v>
      </c>
      <c r="E20" s="4">
        <v>6.2</v>
      </c>
      <c r="F20" s="4">
        <v>9.1999999999999993</v>
      </c>
      <c r="G20" s="4">
        <f t="shared" si="0"/>
        <v>2.9999999999999991</v>
      </c>
      <c r="H20">
        <f t="shared" si="1"/>
        <v>0.29999999999999993</v>
      </c>
      <c r="I20" t="s">
        <v>40</v>
      </c>
      <c r="J20" t="s">
        <v>41</v>
      </c>
      <c r="K20" t="s">
        <v>20</v>
      </c>
    </row>
    <row r="21" spans="1:11">
      <c r="A21" s="1" t="s">
        <v>24</v>
      </c>
      <c r="B21" s="2">
        <v>1020</v>
      </c>
      <c r="C21">
        <v>2499</v>
      </c>
      <c r="D21" t="s">
        <v>12</v>
      </c>
      <c r="E21" s="4">
        <v>6.2</v>
      </c>
      <c r="F21" s="4">
        <v>9.1999999999999993</v>
      </c>
      <c r="G21" s="4">
        <f t="shared" si="0"/>
        <v>2.9999999999999991</v>
      </c>
      <c r="H21">
        <f t="shared" si="1"/>
        <v>0.29999999999999993</v>
      </c>
      <c r="I21" t="s">
        <v>40</v>
      </c>
      <c r="J21" t="s">
        <v>41</v>
      </c>
      <c r="K21" t="s">
        <v>17</v>
      </c>
    </row>
    <row r="22" spans="1:11">
      <c r="A22" s="1" t="s">
        <v>24</v>
      </c>
      <c r="B22" s="2">
        <v>1021</v>
      </c>
      <c r="C22">
        <v>1109</v>
      </c>
      <c r="D22" t="s">
        <v>14</v>
      </c>
      <c r="E22" s="4">
        <v>3</v>
      </c>
      <c r="F22" s="4">
        <v>8</v>
      </c>
      <c r="G22" s="4">
        <f t="shared" si="0"/>
        <v>5</v>
      </c>
      <c r="H22">
        <f t="shared" si="1"/>
        <v>0.5</v>
      </c>
      <c r="I22" t="s">
        <v>38</v>
      </c>
      <c r="J22" t="s">
        <v>39</v>
      </c>
      <c r="K22" t="s">
        <v>20</v>
      </c>
    </row>
    <row r="23" spans="1:11">
      <c r="A23" s="1" t="s">
        <v>24</v>
      </c>
      <c r="B23" s="2">
        <v>1022</v>
      </c>
      <c r="C23">
        <v>2877</v>
      </c>
      <c r="D23" t="s">
        <v>11</v>
      </c>
      <c r="E23" s="4">
        <v>11.4</v>
      </c>
      <c r="F23" s="4">
        <v>16.3</v>
      </c>
      <c r="G23" s="4">
        <f t="shared" si="0"/>
        <v>4.9000000000000004</v>
      </c>
      <c r="H23">
        <f t="shared" si="1"/>
        <v>0.49000000000000005</v>
      </c>
      <c r="I23" t="s">
        <v>40</v>
      </c>
      <c r="J23" t="s">
        <v>41</v>
      </c>
      <c r="K23" t="s">
        <v>21</v>
      </c>
    </row>
    <row r="24" spans="1:11">
      <c r="A24" s="1" t="s">
        <v>24</v>
      </c>
      <c r="B24" s="2">
        <v>1023</v>
      </c>
      <c r="C24">
        <v>1109</v>
      </c>
      <c r="D24" t="s">
        <v>14</v>
      </c>
      <c r="E24" s="4">
        <v>3</v>
      </c>
      <c r="F24" s="4">
        <v>8</v>
      </c>
      <c r="G24" s="4">
        <f t="shared" si="0"/>
        <v>5</v>
      </c>
      <c r="H24">
        <f t="shared" si="1"/>
        <v>0.5</v>
      </c>
      <c r="I24" t="s">
        <v>42</v>
      </c>
      <c r="J24" t="s">
        <v>43</v>
      </c>
      <c r="K24" t="s">
        <v>19</v>
      </c>
    </row>
    <row r="25" spans="1:11">
      <c r="A25" s="1" t="s">
        <v>24</v>
      </c>
      <c r="B25" s="2">
        <v>1024</v>
      </c>
      <c r="C25">
        <v>9212</v>
      </c>
      <c r="D25" t="s">
        <v>10</v>
      </c>
      <c r="E25" s="4">
        <v>4</v>
      </c>
      <c r="F25" s="4">
        <v>7</v>
      </c>
      <c r="G25" s="4">
        <f t="shared" si="0"/>
        <v>3</v>
      </c>
      <c r="H25">
        <f t="shared" si="1"/>
        <v>0.30000000000000004</v>
      </c>
      <c r="I25" t="s">
        <v>38</v>
      </c>
      <c r="J25" t="s">
        <v>39</v>
      </c>
      <c r="K25" t="s">
        <v>21</v>
      </c>
    </row>
    <row r="26" spans="1:11">
      <c r="A26" s="1" t="s">
        <v>24</v>
      </c>
      <c r="B26" s="2">
        <v>1025</v>
      </c>
      <c r="C26">
        <v>2877</v>
      </c>
      <c r="D26" t="s">
        <v>11</v>
      </c>
      <c r="E26" s="4">
        <v>11.4</v>
      </c>
      <c r="F26" s="4">
        <v>16.3</v>
      </c>
      <c r="G26" s="4">
        <f t="shared" si="0"/>
        <v>4.9000000000000004</v>
      </c>
      <c r="H26">
        <f t="shared" si="1"/>
        <v>0.49000000000000005</v>
      </c>
      <c r="I26" t="s">
        <v>42</v>
      </c>
      <c r="J26" t="s">
        <v>43</v>
      </c>
      <c r="K26" t="s">
        <v>17</v>
      </c>
    </row>
    <row r="27" spans="1:11">
      <c r="A27" s="1" t="s">
        <v>24</v>
      </c>
      <c r="B27" s="2">
        <v>1026</v>
      </c>
      <c r="C27">
        <v>6119</v>
      </c>
      <c r="D27" t="s">
        <v>13</v>
      </c>
      <c r="E27" s="4">
        <v>9</v>
      </c>
      <c r="F27" s="4">
        <v>14</v>
      </c>
      <c r="G27" s="4">
        <f t="shared" si="0"/>
        <v>5</v>
      </c>
      <c r="H27">
        <f t="shared" si="1"/>
        <v>0.5</v>
      </c>
      <c r="I27" t="s">
        <v>42</v>
      </c>
      <c r="J27" t="s">
        <v>43</v>
      </c>
      <c r="K27" t="s">
        <v>19</v>
      </c>
    </row>
    <row r="28" spans="1:11">
      <c r="A28" s="1" t="s">
        <v>24</v>
      </c>
      <c r="B28" s="2">
        <v>1027</v>
      </c>
      <c r="C28">
        <v>6119</v>
      </c>
      <c r="D28" t="s">
        <v>13</v>
      </c>
      <c r="E28" s="4">
        <v>9</v>
      </c>
      <c r="F28" s="4">
        <v>14</v>
      </c>
      <c r="G28" s="4">
        <f t="shared" si="0"/>
        <v>5</v>
      </c>
      <c r="H28">
        <f t="shared" si="1"/>
        <v>0.5</v>
      </c>
      <c r="I28" t="s">
        <v>36</v>
      </c>
      <c r="J28" t="s">
        <v>37</v>
      </c>
      <c r="K28" t="s">
        <v>17</v>
      </c>
    </row>
    <row r="29" spans="1:11">
      <c r="A29" s="1" t="s">
        <v>24</v>
      </c>
      <c r="B29" s="2">
        <v>1028</v>
      </c>
      <c r="C29">
        <v>8722</v>
      </c>
      <c r="D29" t="s">
        <v>6</v>
      </c>
      <c r="E29" s="4">
        <v>344</v>
      </c>
      <c r="F29" s="4">
        <v>502</v>
      </c>
      <c r="G29" s="4">
        <f t="shared" si="0"/>
        <v>158</v>
      </c>
      <c r="H29">
        <f t="shared" si="1"/>
        <v>31.6</v>
      </c>
      <c r="I29" t="s">
        <v>36</v>
      </c>
      <c r="J29" t="s">
        <v>37</v>
      </c>
      <c r="K29" t="s">
        <v>16</v>
      </c>
    </row>
    <row r="30" spans="1:11">
      <c r="A30" s="1" t="s">
        <v>24</v>
      </c>
      <c r="B30" s="2">
        <v>1029</v>
      </c>
      <c r="C30">
        <v>2499</v>
      </c>
      <c r="D30" t="s">
        <v>12</v>
      </c>
      <c r="E30" s="4">
        <v>6.2</v>
      </c>
      <c r="F30" s="4">
        <v>9.1999999999999993</v>
      </c>
      <c r="G30" s="4">
        <f t="shared" si="0"/>
        <v>2.9999999999999991</v>
      </c>
      <c r="H30">
        <f t="shared" si="1"/>
        <v>0.29999999999999993</v>
      </c>
      <c r="I30" t="s">
        <v>38</v>
      </c>
      <c r="J30" t="s">
        <v>39</v>
      </c>
      <c r="K30" t="s">
        <v>16</v>
      </c>
    </row>
    <row r="31" spans="1:11">
      <c r="A31" s="1" t="s">
        <v>24</v>
      </c>
      <c r="B31" s="2">
        <v>1030</v>
      </c>
      <c r="C31">
        <v>4421</v>
      </c>
      <c r="D31" t="s">
        <v>9</v>
      </c>
      <c r="E31" s="4">
        <v>45</v>
      </c>
      <c r="F31" s="4">
        <v>87</v>
      </c>
      <c r="G31" s="4">
        <f t="shared" si="0"/>
        <v>42</v>
      </c>
      <c r="H31">
        <f t="shared" si="1"/>
        <v>8.4</v>
      </c>
      <c r="I31" t="s">
        <v>38</v>
      </c>
      <c r="J31" t="s">
        <v>39</v>
      </c>
      <c r="K31" t="s">
        <v>17</v>
      </c>
    </row>
    <row r="32" spans="1:11">
      <c r="A32" s="1" t="s">
        <v>24</v>
      </c>
      <c r="B32" s="2">
        <v>1031</v>
      </c>
      <c r="C32">
        <v>1109</v>
      </c>
      <c r="D32" t="s">
        <v>14</v>
      </c>
      <c r="E32" s="4">
        <v>3</v>
      </c>
      <c r="F32" s="4">
        <v>8</v>
      </c>
      <c r="G32" s="4">
        <f t="shared" si="0"/>
        <v>5</v>
      </c>
      <c r="H32">
        <f t="shared" si="1"/>
        <v>0.5</v>
      </c>
      <c r="I32" t="s">
        <v>38</v>
      </c>
      <c r="J32" t="s">
        <v>39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 s="4">
        <v>11.4</v>
      </c>
      <c r="F33" s="4">
        <v>16.3</v>
      </c>
      <c r="G33" s="4">
        <f t="shared" si="0"/>
        <v>4.9000000000000004</v>
      </c>
      <c r="H33">
        <f t="shared" si="1"/>
        <v>0.49000000000000005</v>
      </c>
      <c r="I33" t="s">
        <v>36</v>
      </c>
      <c r="J33" t="s">
        <v>37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 s="4">
        <v>58.3</v>
      </c>
      <c r="F34" s="4">
        <v>98.4</v>
      </c>
      <c r="G34" s="4">
        <f t="shared" si="0"/>
        <v>40.100000000000009</v>
      </c>
      <c r="H34">
        <f t="shared" si="1"/>
        <v>8.0200000000000014</v>
      </c>
      <c r="I34" t="s">
        <v>38</v>
      </c>
      <c r="J34" t="s">
        <v>39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 s="4">
        <v>11.4</v>
      </c>
      <c r="F35" s="4">
        <v>16.3</v>
      </c>
      <c r="G35" s="4">
        <f t="shared" si="0"/>
        <v>4.9000000000000004</v>
      </c>
      <c r="H35">
        <f t="shared" si="1"/>
        <v>0.49000000000000005</v>
      </c>
      <c r="I35" t="s">
        <v>38</v>
      </c>
      <c r="J35" t="s">
        <v>39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 s="4">
        <v>6.2</v>
      </c>
      <c r="F36" s="4">
        <v>9.1999999999999993</v>
      </c>
      <c r="G36" s="4">
        <f t="shared" si="0"/>
        <v>2.9999999999999991</v>
      </c>
      <c r="H36">
        <f t="shared" si="1"/>
        <v>0.29999999999999993</v>
      </c>
      <c r="I36" t="s">
        <v>42</v>
      </c>
      <c r="J36" t="s">
        <v>43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 s="4">
        <v>6.2</v>
      </c>
      <c r="F37" s="4">
        <v>9.1999999999999993</v>
      </c>
      <c r="G37" s="4">
        <f t="shared" si="0"/>
        <v>2.9999999999999991</v>
      </c>
      <c r="H37">
        <f t="shared" si="1"/>
        <v>0.29999999999999993</v>
      </c>
      <c r="I37" t="s">
        <v>38</v>
      </c>
      <c r="J37" t="s">
        <v>39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 s="4">
        <v>42</v>
      </c>
      <c r="F38" s="4">
        <v>77</v>
      </c>
      <c r="G38" s="4">
        <f t="shared" si="0"/>
        <v>35</v>
      </c>
      <c r="H38">
        <f t="shared" si="1"/>
        <v>7</v>
      </c>
      <c r="I38" t="s">
        <v>38</v>
      </c>
      <c r="J38" t="s">
        <v>39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 s="4">
        <v>6.2</v>
      </c>
      <c r="F39" s="4">
        <v>9.1999999999999993</v>
      </c>
      <c r="G39" s="4">
        <f t="shared" si="0"/>
        <v>2.9999999999999991</v>
      </c>
      <c r="H39">
        <f t="shared" si="1"/>
        <v>0.29999999999999993</v>
      </c>
      <c r="I39" t="s">
        <v>38</v>
      </c>
      <c r="J39" t="s">
        <v>39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 s="4">
        <v>11.4</v>
      </c>
      <c r="F40" s="4">
        <v>16.3</v>
      </c>
      <c r="G40" s="4">
        <f t="shared" si="0"/>
        <v>4.9000000000000004</v>
      </c>
      <c r="H40">
        <f t="shared" si="1"/>
        <v>0.49000000000000005</v>
      </c>
      <c r="I40" t="s">
        <v>38</v>
      </c>
      <c r="J40" t="s">
        <v>39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 s="4">
        <v>3</v>
      </c>
      <c r="F41" s="4">
        <v>8</v>
      </c>
      <c r="G41" s="4">
        <f t="shared" si="0"/>
        <v>5</v>
      </c>
      <c r="H41">
        <f t="shared" si="1"/>
        <v>0.5</v>
      </c>
      <c r="I41" t="s">
        <v>38</v>
      </c>
      <c r="J41" t="s">
        <v>39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 s="4">
        <v>6.2</v>
      </c>
      <c r="F42" s="4">
        <v>9.1999999999999993</v>
      </c>
      <c r="G42" s="4">
        <f t="shared" si="0"/>
        <v>2.9999999999999991</v>
      </c>
      <c r="H42">
        <f t="shared" si="1"/>
        <v>0.29999999999999993</v>
      </c>
      <c r="I42" t="s">
        <v>36</v>
      </c>
      <c r="J42" t="s">
        <v>37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 s="4">
        <v>344</v>
      </c>
      <c r="F43" s="4">
        <v>502</v>
      </c>
      <c r="G43" s="4">
        <f t="shared" si="0"/>
        <v>158</v>
      </c>
      <c r="H43">
        <f t="shared" si="1"/>
        <v>31.6</v>
      </c>
      <c r="I43" t="s">
        <v>40</v>
      </c>
      <c r="J43" t="s">
        <v>41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 s="4">
        <v>60</v>
      </c>
      <c r="F44" s="4">
        <v>124</v>
      </c>
      <c r="G44" s="4">
        <f t="shared" si="0"/>
        <v>64</v>
      </c>
      <c r="H44">
        <f t="shared" si="1"/>
        <v>12.8</v>
      </c>
      <c r="I44" t="s">
        <v>40</v>
      </c>
      <c r="J44" t="s">
        <v>41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 s="4">
        <v>11.4</v>
      </c>
      <c r="F45" s="4">
        <v>16.3</v>
      </c>
      <c r="G45" s="4">
        <f t="shared" si="0"/>
        <v>4.9000000000000004</v>
      </c>
      <c r="H45">
        <f t="shared" si="1"/>
        <v>0.49000000000000005</v>
      </c>
      <c r="I45" t="s">
        <v>40</v>
      </c>
      <c r="J45" t="s">
        <v>41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 s="4">
        <v>344</v>
      </c>
      <c r="F46" s="4">
        <v>502</v>
      </c>
      <c r="G46" s="4">
        <f t="shared" si="0"/>
        <v>158</v>
      </c>
      <c r="H46">
        <f t="shared" si="1"/>
        <v>31.6</v>
      </c>
      <c r="I46" t="s">
        <v>42</v>
      </c>
      <c r="J46" t="s">
        <v>43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 s="4">
        <v>9</v>
      </c>
      <c r="F47" s="4">
        <v>14</v>
      </c>
      <c r="G47" s="4">
        <f t="shared" si="0"/>
        <v>5</v>
      </c>
      <c r="H47">
        <f t="shared" si="1"/>
        <v>0.5</v>
      </c>
      <c r="I47" t="s">
        <v>38</v>
      </c>
      <c r="J47" t="s">
        <v>39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 s="4">
        <v>42</v>
      </c>
      <c r="F48" s="4">
        <v>77</v>
      </c>
      <c r="G48" s="4">
        <f t="shared" si="0"/>
        <v>35</v>
      </c>
      <c r="H48">
        <f t="shared" si="1"/>
        <v>7</v>
      </c>
      <c r="I48" t="s">
        <v>42</v>
      </c>
      <c r="J48" t="s">
        <v>43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 s="4">
        <v>344</v>
      </c>
      <c r="F49" s="4">
        <v>502</v>
      </c>
      <c r="G49" s="4">
        <f t="shared" si="0"/>
        <v>158</v>
      </c>
      <c r="H49">
        <f t="shared" si="1"/>
        <v>31.6</v>
      </c>
      <c r="I49" t="s">
        <v>36</v>
      </c>
      <c r="J49" t="s">
        <v>37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 s="4">
        <v>6.2</v>
      </c>
      <c r="F50" s="4">
        <v>9.1999999999999993</v>
      </c>
      <c r="G50" s="4">
        <f t="shared" si="0"/>
        <v>2.9999999999999991</v>
      </c>
      <c r="H50">
        <f t="shared" si="1"/>
        <v>0.29999999999999993</v>
      </c>
      <c r="I50" t="s">
        <v>36</v>
      </c>
      <c r="J50" t="s">
        <v>37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 s="4">
        <v>11.4</v>
      </c>
      <c r="F51" s="4">
        <v>16.3</v>
      </c>
      <c r="G51" s="4">
        <f t="shared" si="0"/>
        <v>4.9000000000000004</v>
      </c>
      <c r="H51">
        <f t="shared" si="1"/>
        <v>0.49000000000000005</v>
      </c>
      <c r="I51" t="s">
        <v>36</v>
      </c>
      <c r="J51" t="s">
        <v>37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 s="4">
        <v>9</v>
      </c>
      <c r="F52" s="4">
        <v>14</v>
      </c>
      <c r="G52" s="4">
        <f t="shared" si="0"/>
        <v>5</v>
      </c>
      <c r="H52">
        <f t="shared" si="1"/>
        <v>0.5</v>
      </c>
      <c r="I52" t="s">
        <v>40</v>
      </c>
      <c r="J52" t="s">
        <v>41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 s="4">
        <v>42</v>
      </c>
      <c r="F53" s="4">
        <v>77</v>
      </c>
      <c r="G53" s="4">
        <f t="shared" si="0"/>
        <v>35</v>
      </c>
      <c r="H53">
        <f t="shared" si="1"/>
        <v>7</v>
      </c>
      <c r="I53" t="s">
        <v>40</v>
      </c>
      <c r="J53" t="s">
        <v>41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 s="4">
        <v>60</v>
      </c>
      <c r="F54" s="4">
        <v>124</v>
      </c>
      <c r="G54" s="4">
        <f t="shared" si="0"/>
        <v>64</v>
      </c>
      <c r="H54">
        <f t="shared" si="1"/>
        <v>12.8</v>
      </c>
      <c r="I54" t="s">
        <v>36</v>
      </c>
      <c r="J54" t="s">
        <v>37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 s="4">
        <v>45</v>
      </c>
      <c r="F55" s="4">
        <v>87</v>
      </c>
      <c r="G55" s="4">
        <f t="shared" si="0"/>
        <v>42</v>
      </c>
      <c r="H55">
        <f t="shared" si="1"/>
        <v>8.4</v>
      </c>
      <c r="I55" t="s">
        <v>40</v>
      </c>
      <c r="J55" t="s">
        <v>41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 s="4">
        <v>9</v>
      </c>
      <c r="F56" s="4">
        <v>14</v>
      </c>
      <c r="G56" s="4">
        <f t="shared" si="0"/>
        <v>5</v>
      </c>
      <c r="H56">
        <f t="shared" si="1"/>
        <v>0.5</v>
      </c>
      <c r="I56" t="s">
        <v>38</v>
      </c>
      <c r="J56" t="s">
        <v>39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 s="4">
        <v>3</v>
      </c>
      <c r="F57" s="4">
        <v>8</v>
      </c>
      <c r="G57" s="4">
        <f t="shared" si="0"/>
        <v>5</v>
      </c>
      <c r="H57">
        <f t="shared" si="1"/>
        <v>0.5</v>
      </c>
      <c r="I57" t="s">
        <v>40</v>
      </c>
      <c r="J57" t="s">
        <v>41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 s="4">
        <v>6.2</v>
      </c>
      <c r="F58" s="4">
        <v>9.1999999999999993</v>
      </c>
      <c r="G58" s="4">
        <f t="shared" si="0"/>
        <v>2.9999999999999991</v>
      </c>
      <c r="H58">
        <f t="shared" si="1"/>
        <v>0.29999999999999993</v>
      </c>
      <c r="I58" t="s">
        <v>38</v>
      </c>
      <c r="J58" t="s">
        <v>39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 s="4">
        <v>9</v>
      </c>
      <c r="F59" s="4">
        <v>14</v>
      </c>
      <c r="G59" s="4">
        <f t="shared" si="0"/>
        <v>5</v>
      </c>
      <c r="H59">
        <f t="shared" si="1"/>
        <v>0.5</v>
      </c>
      <c r="I59" t="s">
        <v>42</v>
      </c>
      <c r="J59" t="s">
        <v>43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 s="4">
        <v>60</v>
      </c>
      <c r="F60" s="4">
        <v>124</v>
      </c>
      <c r="G60" s="4">
        <f t="shared" si="0"/>
        <v>64</v>
      </c>
      <c r="H60">
        <f t="shared" si="1"/>
        <v>12.8</v>
      </c>
      <c r="I60" t="s">
        <v>40</v>
      </c>
      <c r="J60" t="s">
        <v>41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 s="4">
        <v>9</v>
      </c>
      <c r="F61" s="4">
        <v>14</v>
      </c>
      <c r="G61" s="4">
        <f t="shared" si="0"/>
        <v>5</v>
      </c>
      <c r="H61">
        <f t="shared" si="1"/>
        <v>0.5</v>
      </c>
      <c r="I61" t="s">
        <v>40</v>
      </c>
      <c r="J61" t="s">
        <v>41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 s="4">
        <v>3</v>
      </c>
      <c r="F62" s="4">
        <v>8</v>
      </c>
      <c r="G62" s="4">
        <f t="shared" si="0"/>
        <v>5</v>
      </c>
      <c r="H62">
        <f t="shared" si="1"/>
        <v>0.5</v>
      </c>
      <c r="I62" t="s">
        <v>40</v>
      </c>
      <c r="J62" t="s">
        <v>41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 s="4">
        <v>6.2</v>
      </c>
      <c r="F63" s="4">
        <v>9.1999999999999993</v>
      </c>
      <c r="G63" s="4">
        <f t="shared" si="0"/>
        <v>2.9999999999999991</v>
      </c>
      <c r="H63">
        <f t="shared" si="1"/>
        <v>0.29999999999999993</v>
      </c>
      <c r="I63" t="s">
        <v>36</v>
      </c>
      <c r="J63" t="s">
        <v>37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 s="4">
        <v>3</v>
      </c>
      <c r="F64" s="4">
        <v>8</v>
      </c>
      <c r="G64" s="4">
        <f t="shared" si="0"/>
        <v>5</v>
      </c>
      <c r="H64">
        <f t="shared" si="1"/>
        <v>0.5</v>
      </c>
      <c r="I64" t="s">
        <v>40</v>
      </c>
      <c r="J64" t="s">
        <v>41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 s="4">
        <v>6.2</v>
      </c>
      <c r="F65" s="4">
        <v>9.1999999999999993</v>
      </c>
      <c r="G65" s="4">
        <f t="shared" si="0"/>
        <v>2.9999999999999991</v>
      </c>
      <c r="H65">
        <f t="shared" si="1"/>
        <v>0.29999999999999993</v>
      </c>
      <c r="I65" t="s">
        <v>42</v>
      </c>
      <c r="J65" t="s">
        <v>43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 s="4">
        <v>6.2</v>
      </c>
      <c r="F66" s="4">
        <v>9.1999999999999993</v>
      </c>
      <c r="G66" s="4">
        <f t="shared" si="0"/>
        <v>2.9999999999999991</v>
      </c>
      <c r="H66">
        <f t="shared" si="1"/>
        <v>0.29999999999999993</v>
      </c>
      <c r="I66" t="s">
        <v>40</v>
      </c>
      <c r="J66" t="s">
        <v>41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 s="4">
        <v>11.4</v>
      </c>
      <c r="F67" s="4">
        <v>16.3</v>
      </c>
      <c r="G67" s="4">
        <f t="shared" ref="G67:G130" si="2">F67-E67</f>
        <v>4.9000000000000004</v>
      </c>
      <c r="H67">
        <f t="shared" ref="H67:H130" si="3">IF(F67&gt;50,G67*0.2,G67*0.1)</f>
        <v>0.49000000000000005</v>
      </c>
      <c r="I67" t="s">
        <v>40</v>
      </c>
      <c r="J67" t="s">
        <v>41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 s="4">
        <v>11.4</v>
      </c>
      <c r="F68" s="4">
        <v>16.3</v>
      </c>
      <c r="G68" s="4">
        <f t="shared" si="2"/>
        <v>4.9000000000000004</v>
      </c>
      <c r="H68">
        <f t="shared" si="3"/>
        <v>0.49000000000000005</v>
      </c>
      <c r="I68" t="s">
        <v>40</v>
      </c>
      <c r="J68" t="s">
        <v>41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 s="4">
        <v>9</v>
      </c>
      <c r="F69" s="4">
        <v>14</v>
      </c>
      <c r="G69" s="4">
        <f t="shared" si="2"/>
        <v>5</v>
      </c>
      <c r="H69">
        <f t="shared" si="3"/>
        <v>0.5</v>
      </c>
      <c r="I69" t="s">
        <v>38</v>
      </c>
      <c r="J69" t="s">
        <v>39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 s="4">
        <v>3</v>
      </c>
      <c r="F70" s="4">
        <v>8</v>
      </c>
      <c r="G70" s="4">
        <f t="shared" si="2"/>
        <v>5</v>
      </c>
      <c r="H70">
        <f t="shared" si="3"/>
        <v>0.5</v>
      </c>
      <c r="I70" t="s">
        <v>40</v>
      </c>
      <c r="J70" t="s">
        <v>41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 s="4">
        <v>6.2</v>
      </c>
      <c r="F71" s="4">
        <v>9.1999999999999993</v>
      </c>
      <c r="G71" s="4">
        <f t="shared" si="2"/>
        <v>2.9999999999999991</v>
      </c>
      <c r="H71">
        <f t="shared" si="3"/>
        <v>0.29999999999999993</v>
      </c>
      <c r="I71" t="s">
        <v>42</v>
      </c>
      <c r="J71" t="s">
        <v>43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 s="4">
        <v>3</v>
      </c>
      <c r="F72" s="4">
        <v>8</v>
      </c>
      <c r="G72" s="4">
        <f t="shared" si="2"/>
        <v>5</v>
      </c>
      <c r="H72">
        <f t="shared" si="3"/>
        <v>0.5</v>
      </c>
      <c r="I72" t="s">
        <v>36</v>
      </c>
      <c r="J72" t="s">
        <v>37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 s="4">
        <v>3</v>
      </c>
      <c r="F73" s="4">
        <v>8</v>
      </c>
      <c r="G73" s="4">
        <f t="shared" si="2"/>
        <v>5</v>
      </c>
      <c r="H73">
        <f t="shared" si="3"/>
        <v>0.5</v>
      </c>
      <c r="I73" t="s">
        <v>40</v>
      </c>
      <c r="J73" t="s">
        <v>41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 s="4">
        <v>42</v>
      </c>
      <c r="F74" s="4">
        <v>77</v>
      </c>
      <c r="G74" s="4">
        <f t="shared" si="2"/>
        <v>35</v>
      </c>
      <c r="H74">
        <f t="shared" si="3"/>
        <v>7</v>
      </c>
      <c r="I74" t="s">
        <v>40</v>
      </c>
      <c r="J74" t="s">
        <v>41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 s="4">
        <v>11.4</v>
      </c>
      <c r="F75" s="4">
        <v>16.3</v>
      </c>
      <c r="G75" s="4">
        <f t="shared" si="2"/>
        <v>4.9000000000000004</v>
      </c>
      <c r="H75">
        <f t="shared" si="3"/>
        <v>0.49000000000000005</v>
      </c>
      <c r="I75" t="s">
        <v>40</v>
      </c>
      <c r="J75" t="s">
        <v>41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 s="4">
        <v>3</v>
      </c>
      <c r="F76" s="4">
        <v>8</v>
      </c>
      <c r="G76" s="4">
        <f t="shared" si="2"/>
        <v>5</v>
      </c>
      <c r="H76">
        <f t="shared" si="3"/>
        <v>0.5</v>
      </c>
      <c r="I76" t="s">
        <v>42</v>
      </c>
      <c r="J76" t="s">
        <v>43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 s="4">
        <v>3</v>
      </c>
      <c r="F77" s="4">
        <v>8</v>
      </c>
      <c r="G77" s="4">
        <f t="shared" si="2"/>
        <v>5</v>
      </c>
      <c r="H77">
        <f t="shared" si="3"/>
        <v>0.5</v>
      </c>
      <c r="I77" t="s">
        <v>38</v>
      </c>
      <c r="J77" t="s">
        <v>39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 s="4">
        <v>58.3</v>
      </c>
      <c r="F78" s="4">
        <v>98.4</v>
      </c>
      <c r="G78" s="4">
        <f t="shared" si="2"/>
        <v>40.100000000000009</v>
      </c>
      <c r="H78">
        <f t="shared" si="3"/>
        <v>8.0200000000000014</v>
      </c>
      <c r="I78" t="s">
        <v>42</v>
      </c>
      <c r="J78" t="s">
        <v>43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 s="4">
        <v>11.4</v>
      </c>
      <c r="F79" s="4">
        <v>16.3</v>
      </c>
      <c r="G79" s="4">
        <f t="shared" si="2"/>
        <v>4.9000000000000004</v>
      </c>
      <c r="H79">
        <f t="shared" si="3"/>
        <v>0.49000000000000005</v>
      </c>
      <c r="I79" t="s">
        <v>38</v>
      </c>
      <c r="J79" t="s">
        <v>39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 s="4">
        <v>11.4</v>
      </c>
      <c r="F80" s="4">
        <v>16.3</v>
      </c>
      <c r="G80" s="4">
        <f t="shared" si="2"/>
        <v>4.9000000000000004</v>
      </c>
      <c r="H80">
        <f t="shared" si="3"/>
        <v>0.49000000000000005</v>
      </c>
      <c r="I80" t="s">
        <v>38</v>
      </c>
      <c r="J80" t="s">
        <v>39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 s="4">
        <v>45</v>
      </c>
      <c r="F81" s="4">
        <v>87</v>
      </c>
      <c r="G81" s="4">
        <f t="shared" si="2"/>
        <v>42</v>
      </c>
      <c r="H81">
        <f t="shared" si="3"/>
        <v>8.4</v>
      </c>
      <c r="I81" t="s">
        <v>40</v>
      </c>
      <c r="J81" t="s">
        <v>41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 s="4">
        <v>9</v>
      </c>
      <c r="F82" s="4">
        <v>14</v>
      </c>
      <c r="G82" s="4">
        <f t="shared" si="2"/>
        <v>5</v>
      </c>
      <c r="H82">
        <f t="shared" si="3"/>
        <v>0.5</v>
      </c>
      <c r="I82" t="s">
        <v>40</v>
      </c>
      <c r="J82" t="s">
        <v>41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 s="4">
        <v>3</v>
      </c>
      <c r="F83" s="4">
        <v>8</v>
      </c>
      <c r="G83" s="4">
        <f t="shared" si="2"/>
        <v>5</v>
      </c>
      <c r="H83">
        <f t="shared" si="3"/>
        <v>0.5</v>
      </c>
      <c r="I83" t="s">
        <v>36</v>
      </c>
      <c r="J83" t="s">
        <v>37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 s="4">
        <v>3</v>
      </c>
      <c r="F84" s="4">
        <v>8</v>
      </c>
      <c r="G84" s="4">
        <f t="shared" si="2"/>
        <v>5</v>
      </c>
      <c r="H84">
        <f t="shared" si="3"/>
        <v>0.5</v>
      </c>
      <c r="I84" t="s">
        <v>36</v>
      </c>
      <c r="J84" t="s">
        <v>37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 s="4">
        <v>9</v>
      </c>
      <c r="F85" s="4">
        <v>14</v>
      </c>
      <c r="G85" s="4">
        <f t="shared" si="2"/>
        <v>5</v>
      </c>
      <c r="H85">
        <f t="shared" si="3"/>
        <v>0.5</v>
      </c>
      <c r="I85" t="s">
        <v>36</v>
      </c>
      <c r="J85" t="s">
        <v>37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 s="4">
        <v>58.3</v>
      </c>
      <c r="F86" s="4">
        <v>98.4</v>
      </c>
      <c r="G86" s="4">
        <f t="shared" si="2"/>
        <v>40.100000000000009</v>
      </c>
      <c r="H86">
        <f t="shared" si="3"/>
        <v>8.0200000000000014</v>
      </c>
      <c r="I86" t="s">
        <v>40</v>
      </c>
      <c r="J86" t="s">
        <v>41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 s="4">
        <v>3</v>
      </c>
      <c r="F87" s="4">
        <v>8</v>
      </c>
      <c r="G87" s="4">
        <f t="shared" si="2"/>
        <v>5</v>
      </c>
      <c r="H87">
        <f t="shared" si="3"/>
        <v>0.5</v>
      </c>
      <c r="I87" t="s">
        <v>42</v>
      </c>
      <c r="J87" t="s">
        <v>43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 s="4">
        <v>6.2</v>
      </c>
      <c r="F88" s="4">
        <v>9.1999999999999993</v>
      </c>
      <c r="G88" s="4">
        <f t="shared" si="2"/>
        <v>2.9999999999999991</v>
      </c>
      <c r="H88">
        <f t="shared" si="3"/>
        <v>0.29999999999999993</v>
      </c>
      <c r="I88" t="s">
        <v>36</v>
      </c>
      <c r="J88" t="s">
        <v>37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 s="4">
        <v>6.2</v>
      </c>
      <c r="F89" s="4">
        <v>9.1999999999999993</v>
      </c>
      <c r="G89" s="4">
        <f t="shared" si="2"/>
        <v>2.9999999999999991</v>
      </c>
      <c r="H89">
        <f t="shared" si="3"/>
        <v>0.29999999999999993</v>
      </c>
      <c r="I89" t="s">
        <v>36</v>
      </c>
      <c r="J89" t="s">
        <v>37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 s="4">
        <v>9</v>
      </c>
      <c r="F90" s="4">
        <v>14</v>
      </c>
      <c r="G90" s="4">
        <f t="shared" si="2"/>
        <v>5</v>
      </c>
      <c r="H90">
        <f t="shared" si="3"/>
        <v>0.5</v>
      </c>
      <c r="I90" t="s">
        <v>40</v>
      </c>
      <c r="J90" t="s">
        <v>41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 s="4">
        <v>11.4</v>
      </c>
      <c r="F91" s="4">
        <v>16.3</v>
      </c>
      <c r="G91" s="4">
        <f t="shared" si="2"/>
        <v>4.9000000000000004</v>
      </c>
      <c r="H91">
        <f t="shared" si="3"/>
        <v>0.49000000000000005</v>
      </c>
      <c r="I91" t="s">
        <v>36</v>
      </c>
      <c r="J91" t="s">
        <v>37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 s="4">
        <v>11.4</v>
      </c>
      <c r="F92" s="4">
        <v>16.3</v>
      </c>
      <c r="G92" s="4">
        <f t="shared" si="2"/>
        <v>4.9000000000000004</v>
      </c>
      <c r="H92">
        <f t="shared" si="3"/>
        <v>0.49000000000000005</v>
      </c>
      <c r="I92" t="s">
        <v>42</v>
      </c>
      <c r="J92" t="s">
        <v>43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 s="4">
        <v>11.4</v>
      </c>
      <c r="F93" s="4">
        <v>16.3</v>
      </c>
      <c r="G93" s="4">
        <f t="shared" si="2"/>
        <v>4.9000000000000004</v>
      </c>
      <c r="H93">
        <f t="shared" si="3"/>
        <v>0.49000000000000005</v>
      </c>
      <c r="I93" t="s">
        <v>40</v>
      </c>
      <c r="J93" t="s">
        <v>41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 s="4">
        <v>9</v>
      </c>
      <c r="F94" s="4">
        <v>14</v>
      </c>
      <c r="G94" s="4">
        <f t="shared" si="2"/>
        <v>5</v>
      </c>
      <c r="H94">
        <f t="shared" si="3"/>
        <v>0.5</v>
      </c>
      <c r="I94" t="s">
        <v>38</v>
      </c>
      <c r="J94" t="s">
        <v>39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 s="4">
        <v>9</v>
      </c>
      <c r="F95" s="4">
        <v>14</v>
      </c>
      <c r="G95" s="4">
        <f t="shared" si="2"/>
        <v>5</v>
      </c>
      <c r="H95">
        <f t="shared" si="3"/>
        <v>0.5</v>
      </c>
      <c r="I95" t="s">
        <v>40</v>
      </c>
      <c r="J95" t="s">
        <v>41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 s="4">
        <v>6.2</v>
      </c>
      <c r="F96" s="4">
        <v>9.1999999999999993</v>
      </c>
      <c r="G96" s="4">
        <f t="shared" si="2"/>
        <v>2.9999999999999991</v>
      </c>
      <c r="H96">
        <f t="shared" si="3"/>
        <v>0.29999999999999993</v>
      </c>
      <c r="I96" t="s">
        <v>42</v>
      </c>
      <c r="J96" t="s">
        <v>43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 s="4">
        <v>9</v>
      </c>
      <c r="F97" s="4">
        <v>14</v>
      </c>
      <c r="G97" s="4">
        <f t="shared" si="2"/>
        <v>5</v>
      </c>
      <c r="H97">
        <f t="shared" si="3"/>
        <v>0.5</v>
      </c>
      <c r="I97" t="s">
        <v>40</v>
      </c>
      <c r="J97" t="s">
        <v>41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 s="4">
        <v>4</v>
      </c>
      <c r="F98" s="4">
        <v>7</v>
      </c>
      <c r="G98" s="4">
        <f t="shared" si="2"/>
        <v>3</v>
      </c>
      <c r="H98">
        <f t="shared" si="3"/>
        <v>0.30000000000000004</v>
      </c>
      <c r="I98" t="s">
        <v>42</v>
      </c>
      <c r="J98" t="s">
        <v>43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 s="4">
        <v>11.4</v>
      </c>
      <c r="F99" s="4">
        <v>16.3</v>
      </c>
      <c r="G99" s="4">
        <f t="shared" si="2"/>
        <v>4.9000000000000004</v>
      </c>
      <c r="H99">
        <f t="shared" si="3"/>
        <v>0.49000000000000005</v>
      </c>
      <c r="I99" t="s">
        <v>38</v>
      </c>
      <c r="J99" t="s">
        <v>39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 s="4">
        <v>11.4</v>
      </c>
      <c r="F100" s="4">
        <v>16.3</v>
      </c>
      <c r="G100" s="4">
        <f t="shared" si="2"/>
        <v>4.9000000000000004</v>
      </c>
      <c r="H100">
        <f t="shared" si="3"/>
        <v>0.49000000000000005</v>
      </c>
      <c r="I100" t="s">
        <v>40</v>
      </c>
      <c r="J100" t="s">
        <v>41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 s="4">
        <v>9</v>
      </c>
      <c r="F101" s="4">
        <v>14</v>
      </c>
      <c r="G101" s="4">
        <f t="shared" si="2"/>
        <v>5</v>
      </c>
      <c r="H101">
        <f t="shared" si="3"/>
        <v>0.5</v>
      </c>
      <c r="I101" t="s">
        <v>36</v>
      </c>
      <c r="J101" t="s">
        <v>37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 s="4">
        <v>6.2</v>
      </c>
      <c r="F102" s="4">
        <v>9.1999999999999993</v>
      </c>
      <c r="G102" s="4">
        <f t="shared" si="2"/>
        <v>2.9999999999999991</v>
      </c>
      <c r="H102">
        <f t="shared" si="3"/>
        <v>0.29999999999999993</v>
      </c>
      <c r="I102" t="s">
        <v>40</v>
      </c>
      <c r="J102" t="s">
        <v>41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 s="4">
        <v>60</v>
      </c>
      <c r="F103" s="4">
        <v>124</v>
      </c>
      <c r="G103" s="4">
        <f t="shared" si="2"/>
        <v>64</v>
      </c>
      <c r="H103">
        <f t="shared" si="3"/>
        <v>12.8</v>
      </c>
      <c r="I103" t="s">
        <v>38</v>
      </c>
      <c r="J103" t="s">
        <v>39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 s="4">
        <v>11.4</v>
      </c>
      <c r="F104" s="4">
        <v>16.3</v>
      </c>
      <c r="G104" s="4">
        <f t="shared" si="2"/>
        <v>4.9000000000000004</v>
      </c>
      <c r="H104">
        <f t="shared" si="3"/>
        <v>0.49000000000000005</v>
      </c>
      <c r="I104" t="s">
        <v>38</v>
      </c>
      <c r="J104" t="s">
        <v>39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 s="4">
        <v>11.4</v>
      </c>
      <c r="F105" s="4">
        <v>16.3</v>
      </c>
      <c r="G105" s="4">
        <f t="shared" si="2"/>
        <v>4.9000000000000004</v>
      </c>
      <c r="H105">
        <f t="shared" si="3"/>
        <v>0.49000000000000005</v>
      </c>
      <c r="I105" t="s">
        <v>40</v>
      </c>
      <c r="J105" t="s">
        <v>41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 s="4">
        <v>6.2</v>
      </c>
      <c r="F106" s="4">
        <v>9.1999999999999993</v>
      </c>
      <c r="G106" s="4">
        <f t="shared" si="2"/>
        <v>2.9999999999999991</v>
      </c>
      <c r="H106">
        <f t="shared" si="3"/>
        <v>0.29999999999999993</v>
      </c>
      <c r="I106" t="s">
        <v>38</v>
      </c>
      <c r="J106" t="s">
        <v>39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 s="4">
        <v>58.3</v>
      </c>
      <c r="F107" s="4">
        <v>98.4</v>
      </c>
      <c r="G107" s="4">
        <f t="shared" si="2"/>
        <v>40.100000000000009</v>
      </c>
      <c r="H107">
        <f t="shared" si="3"/>
        <v>8.0200000000000014</v>
      </c>
      <c r="I107" t="s">
        <v>38</v>
      </c>
      <c r="J107" t="s">
        <v>39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 s="4">
        <v>3</v>
      </c>
      <c r="F108" s="4">
        <v>8</v>
      </c>
      <c r="G108" s="4">
        <f t="shared" si="2"/>
        <v>5</v>
      </c>
      <c r="H108">
        <f t="shared" si="3"/>
        <v>0.5</v>
      </c>
      <c r="I108" t="s">
        <v>42</v>
      </c>
      <c r="J108" t="s">
        <v>43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 s="4">
        <v>58.3</v>
      </c>
      <c r="F109" s="4">
        <v>98.4</v>
      </c>
      <c r="G109" s="4">
        <f t="shared" si="2"/>
        <v>40.100000000000009</v>
      </c>
      <c r="H109">
        <f t="shared" si="3"/>
        <v>8.0200000000000014</v>
      </c>
      <c r="I109" t="s">
        <v>40</v>
      </c>
      <c r="J109" t="s">
        <v>41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 s="4">
        <v>344</v>
      </c>
      <c r="F110" s="4">
        <v>502</v>
      </c>
      <c r="G110" s="4">
        <f t="shared" si="2"/>
        <v>158</v>
      </c>
      <c r="H110">
        <f t="shared" si="3"/>
        <v>31.6</v>
      </c>
      <c r="I110" t="s">
        <v>38</v>
      </c>
      <c r="J110" t="s">
        <v>39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 s="4">
        <v>344</v>
      </c>
      <c r="F111" s="4">
        <v>502</v>
      </c>
      <c r="G111" s="4">
        <f t="shared" si="2"/>
        <v>158</v>
      </c>
      <c r="H111">
        <f t="shared" si="3"/>
        <v>31.6</v>
      </c>
      <c r="I111" t="s">
        <v>42</v>
      </c>
      <c r="J111" t="s">
        <v>43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 s="4">
        <v>42</v>
      </c>
      <c r="F112" s="4">
        <v>77</v>
      </c>
      <c r="G112" s="4">
        <f t="shared" si="2"/>
        <v>35</v>
      </c>
      <c r="H112">
        <f t="shared" si="3"/>
        <v>7</v>
      </c>
      <c r="I112" t="s">
        <v>42</v>
      </c>
      <c r="J112" t="s">
        <v>43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 s="4">
        <v>42</v>
      </c>
      <c r="F113" s="4">
        <v>77</v>
      </c>
      <c r="G113" s="4">
        <f t="shared" si="2"/>
        <v>35</v>
      </c>
      <c r="H113">
        <f t="shared" si="3"/>
        <v>7</v>
      </c>
      <c r="I113" t="s">
        <v>40</v>
      </c>
      <c r="J113" t="s">
        <v>41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 s="4">
        <v>58.3</v>
      </c>
      <c r="F114" s="4">
        <v>98.4</v>
      </c>
      <c r="G114" s="4">
        <f t="shared" si="2"/>
        <v>40.100000000000009</v>
      </c>
      <c r="H114">
        <f t="shared" si="3"/>
        <v>8.0200000000000014</v>
      </c>
      <c r="I114" t="s">
        <v>36</v>
      </c>
      <c r="J114" t="s">
        <v>37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 s="4">
        <v>60</v>
      </c>
      <c r="F115" s="4">
        <v>124</v>
      </c>
      <c r="G115" s="4">
        <f t="shared" si="2"/>
        <v>64</v>
      </c>
      <c r="H115">
        <f t="shared" si="3"/>
        <v>12.8</v>
      </c>
      <c r="I115" t="s">
        <v>38</v>
      </c>
      <c r="J115" t="s">
        <v>39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 s="4">
        <v>344</v>
      </c>
      <c r="F116" s="4">
        <v>502</v>
      </c>
      <c r="G116" s="4">
        <f t="shared" si="2"/>
        <v>158</v>
      </c>
      <c r="H116">
        <f t="shared" si="3"/>
        <v>31.6</v>
      </c>
      <c r="I116" t="s">
        <v>36</v>
      </c>
      <c r="J116" t="s">
        <v>37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 s="4">
        <v>42</v>
      </c>
      <c r="F117" s="4">
        <v>77</v>
      </c>
      <c r="G117" s="4">
        <f t="shared" si="2"/>
        <v>35</v>
      </c>
      <c r="H117">
        <f t="shared" si="3"/>
        <v>7</v>
      </c>
      <c r="I117" t="s">
        <v>40</v>
      </c>
      <c r="J117" t="s">
        <v>41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4">
        <v>344</v>
      </c>
      <c r="F118" s="4">
        <v>502</v>
      </c>
      <c r="G118" s="4">
        <f t="shared" si="2"/>
        <v>158</v>
      </c>
      <c r="H118">
        <f t="shared" si="3"/>
        <v>31.6</v>
      </c>
      <c r="I118" t="s">
        <v>42</v>
      </c>
      <c r="J118" t="s">
        <v>43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 s="4">
        <v>58.3</v>
      </c>
      <c r="F119" s="4">
        <v>98.4</v>
      </c>
      <c r="G119" s="4">
        <f t="shared" si="2"/>
        <v>40.100000000000009</v>
      </c>
      <c r="H119">
        <f t="shared" si="3"/>
        <v>8.0200000000000014</v>
      </c>
      <c r="I119" t="s">
        <v>38</v>
      </c>
      <c r="J119" t="s">
        <v>39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 s="4">
        <v>60</v>
      </c>
      <c r="F120" s="4">
        <v>124</v>
      </c>
      <c r="G120" s="4">
        <f t="shared" si="2"/>
        <v>64</v>
      </c>
      <c r="H120">
        <f t="shared" si="3"/>
        <v>12.8</v>
      </c>
      <c r="I120" t="s">
        <v>36</v>
      </c>
      <c r="J120" t="s">
        <v>37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 s="4">
        <v>60</v>
      </c>
      <c r="F121" s="4">
        <v>124</v>
      </c>
      <c r="G121" s="4">
        <f t="shared" si="2"/>
        <v>64</v>
      </c>
      <c r="H121">
        <f t="shared" si="3"/>
        <v>12.8</v>
      </c>
      <c r="I121" t="s">
        <v>40</v>
      </c>
      <c r="J121" t="s">
        <v>41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 s="4">
        <v>45</v>
      </c>
      <c r="F122" s="4">
        <v>87</v>
      </c>
      <c r="G122" s="4">
        <f t="shared" si="2"/>
        <v>42</v>
      </c>
      <c r="H122">
        <f t="shared" si="3"/>
        <v>8.4</v>
      </c>
      <c r="I122" t="s">
        <v>40</v>
      </c>
      <c r="J122" t="s">
        <v>41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 s="4">
        <v>344</v>
      </c>
      <c r="F123" s="4">
        <v>502</v>
      </c>
      <c r="G123" s="4">
        <f t="shared" si="2"/>
        <v>158</v>
      </c>
      <c r="H123">
        <f t="shared" si="3"/>
        <v>31.6</v>
      </c>
      <c r="I123" t="s">
        <v>40</v>
      </c>
      <c r="J123" t="s">
        <v>41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 s="4">
        <v>58.3</v>
      </c>
      <c r="F124" s="4">
        <v>98.4</v>
      </c>
      <c r="G124" s="4">
        <f t="shared" si="2"/>
        <v>40.100000000000009</v>
      </c>
      <c r="H124">
        <f t="shared" si="3"/>
        <v>8.0200000000000014</v>
      </c>
      <c r="I124" t="s">
        <v>40</v>
      </c>
      <c r="J124" t="s">
        <v>41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 s="4">
        <v>45</v>
      </c>
      <c r="F125" s="4">
        <v>87</v>
      </c>
      <c r="G125" s="4">
        <f t="shared" si="2"/>
        <v>42</v>
      </c>
      <c r="H125">
        <f t="shared" si="3"/>
        <v>8.4</v>
      </c>
      <c r="I125" t="s">
        <v>40</v>
      </c>
      <c r="J125" t="s">
        <v>41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 s="4">
        <v>60</v>
      </c>
      <c r="F126" s="4">
        <v>124</v>
      </c>
      <c r="G126" s="4">
        <f t="shared" si="2"/>
        <v>64</v>
      </c>
      <c r="H126">
        <f t="shared" si="3"/>
        <v>12.8</v>
      </c>
      <c r="I126" t="s">
        <v>40</v>
      </c>
      <c r="J126" t="s">
        <v>41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 s="4">
        <v>4</v>
      </c>
      <c r="F127" s="4">
        <v>7</v>
      </c>
      <c r="G127" s="4">
        <f t="shared" si="2"/>
        <v>3</v>
      </c>
      <c r="H127">
        <f t="shared" si="3"/>
        <v>0.30000000000000004</v>
      </c>
      <c r="I127" t="s">
        <v>40</v>
      </c>
      <c r="J127" t="s">
        <v>41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 s="4">
        <v>344</v>
      </c>
      <c r="F128" s="4">
        <v>502</v>
      </c>
      <c r="G128" s="4">
        <f t="shared" si="2"/>
        <v>158</v>
      </c>
      <c r="H128">
        <f t="shared" si="3"/>
        <v>31.6</v>
      </c>
      <c r="I128" t="s">
        <v>36</v>
      </c>
      <c r="J128" t="s">
        <v>37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 s="4">
        <v>42</v>
      </c>
      <c r="F129" s="4">
        <v>77</v>
      </c>
      <c r="G129" s="4">
        <f t="shared" si="2"/>
        <v>35</v>
      </c>
      <c r="H129">
        <f t="shared" si="3"/>
        <v>7</v>
      </c>
      <c r="I129" t="s">
        <v>38</v>
      </c>
      <c r="J129" t="s">
        <v>39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 s="4">
        <v>58.3</v>
      </c>
      <c r="F130" s="4">
        <v>98.4</v>
      </c>
      <c r="G130" s="4">
        <f t="shared" si="2"/>
        <v>40.100000000000009</v>
      </c>
      <c r="H130">
        <f t="shared" si="3"/>
        <v>8.0200000000000014</v>
      </c>
      <c r="I130" t="s">
        <v>42</v>
      </c>
      <c r="J130" t="s">
        <v>43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 s="4">
        <v>45</v>
      </c>
      <c r="F131" s="4">
        <v>87</v>
      </c>
      <c r="G131" s="4">
        <f t="shared" ref="G131:G172" si="4">F131-E131</f>
        <v>42</v>
      </c>
      <c r="H131">
        <f t="shared" ref="H131:H172" si="5">IF(F131&gt;50,G131*0.2,G131*0.1)</f>
        <v>8.4</v>
      </c>
      <c r="I131" t="s">
        <v>42</v>
      </c>
      <c r="J131" t="s">
        <v>43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 s="4">
        <v>4</v>
      </c>
      <c r="F132" s="4">
        <v>7</v>
      </c>
      <c r="G132" s="4">
        <f t="shared" si="4"/>
        <v>3</v>
      </c>
      <c r="H132">
        <f t="shared" si="5"/>
        <v>0.30000000000000004</v>
      </c>
      <c r="I132" t="s">
        <v>42</v>
      </c>
      <c r="J132" t="s">
        <v>43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 s="4">
        <v>4</v>
      </c>
      <c r="F133" s="4">
        <v>7</v>
      </c>
      <c r="G133" s="4">
        <f t="shared" si="4"/>
        <v>3</v>
      </c>
      <c r="H133">
        <f t="shared" si="5"/>
        <v>0.30000000000000004</v>
      </c>
      <c r="I133" t="s">
        <v>42</v>
      </c>
      <c r="J133" t="s">
        <v>43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 s="4">
        <v>58.3</v>
      </c>
      <c r="F134" s="4">
        <v>98.4</v>
      </c>
      <c r="G134" s="4">
        <f t="shared" si="4"/>
        <v>40.100000000000009</v>
      </c>
      <c r="H134">
        <f t="shared" si="5"/>
        <v>8.0200000000000014</v>
      </c>
      <c r="I134" t="s">
        <v>36</v>
      </c>
      <c r="J134" t="s">
        <v>37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 s="4">
        <v>58.3</v>
      </c>
      <c r="F135" s="4">
        <v>98.4</v>
      </c>
      <c r="G135" s="4">
        <f t="shared" si="4"/>
        <v>40.100000000000009</v>
      </c>
      <c r="H135">
        <f t="shared" si="5"/>
        <v>8.0200000000000014</v>
      </c>
      <c r="I135" t="s">
        <v>40</v>
      </c>
      <c r="J135" t="s">
        <v>41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 s="4">
        <v>344</v>
      </c>
      <c r="F136" s="4">
        <v>502</v>
      </c>
      <c r="G136" s="4">
        <f t="shared" si="4"/>
        <v>158</v>
      </c>
      <c r="H136">
        <f t="shared" si="5"/>
        <v>31.6</v>
      </c>
      <c r="I136" t="s">
        <v>36</v>
      </c>
      <c r="J136" t="s">
        <v>37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 s="4">
        <v>60</v>
      </c>
      <c r="F137" s="4">
        <v>124</v>
      </c>
      <c r="G137" s="4">
        <f t="shared" si="4"/>
        <v>64</v>
      </c>
      <c r="H137">
        <f t="shared" si="5"/>
        <v>12.8</v>
      </c>
      <c r="I137" t="s">
        <v>40</v>
      </c>
      <c r="J137" t="s">
        <v>41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 s="4">
        <v>58.3</v>
      </c>
      <c r="F138" s="4">
        <v>98.4</v>
      </c>
      <c r="G138" s="4">
        <f t="shared" si="4"/>
        <v>40.100000000000009</v>
      </c>
      <c r="H138">
        <f t="shared" si="5"/>
        <v>8.0200000000000014</v>
      </c>
      <c r="I138" t="s">
        <v>38</v>
      </c>
      <c r="J138" t="s">
        <v>39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 s="4">
        <v>344</v>
      </c>
      <c r="F139" s="4">
        <v>502</v>
      </c>
      <c r="G139" s="4">
        <f t="shared" si="4"/>
        <v>158</v>
      </c>
      <c r="H139">
        <f t="shared" si="5"/>
        <v>31.6</v>
      </c>
      <c r="I139" t="s">
        <v>36</v>
      </c>
      <c r="J139" t="s">
        <v>37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 s="4">
        <v>45</v>
      </c>
      <c r="F140" s="4">
        <v>87</v>
      </c>
      <c r="G140" s="4">
        <f t="shared" si="4"/>
        <v>42</v>
      </c>
      <c r="H140">
        <f t="shared" si="5"/>
        <v>8.4</v>
      </c>
      <c r="I140" t="s">
        <v>40</v>
      </c>
      <c r="J140" t="s">
        <v>41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 s="4">
        <v>45</v>
      </c>
      <c r="F141" s="4">
        <v>87</v>
      </c>
      <c r="G141" s="4">
        <f t="shared" si="4"/>
        <v>42</v>
      </c>
      <c r="H141">
        <f t="shared" si="5"/>
        <v>8.4</v>
      </c>
      <c r="I141" t="s">
        <v>38</v>
      </c>
      <c r="J141" t="s">
        <v>39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 s="4">
        <v>4</v>
      </c>
      <c r="F142" s="4">
        <v>7</v>
      </c>
      <c r="G142" s="4">
        <f t="shared" si="4"/>
        <v>3</v>
      </c>
      <c r="H142">
        <f t="shared" si="5"/>
        <v>0.30000000000000004</v>
      </c>
      <c r="I142" t="s">
        <v>38</v>
      </c>
      <c r="J142" t="s">
        <v>39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 s="4">
        <v>60</v>
      </c>
      <c r="F143" s="4">
        <v>124</v>
      </c>
      <c r="G143" s="4">
        <f t="shared" si="4"/>
        <v>64</v>
      </c>
      <c r="H143">
        <f t="shared" si="5"/>
        <v>12.8</v>
      </c>
      <c r="I143" t="s">
        <v>38</v>
      </c>
      <c r="J143" t="s">
        <v>39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 s="4">
        <v>58.3</v>
      </c>
      <c r="F144" s="4">
        <v>98.4</v>
      </c>
      <c r="G144" s="4">
        <f t="shared" si="4"/>
        <v>40.100000000000009</v>
      </c>
      <c r="H144">
        <f t="shared" si="5"/>
        <v>8.0200000000000014</v>
      </c>
      <c r="I144" t="s">
        <v>42</v>
      </c>
      <c r="J144" t="s">
        <v>43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4">
        <v>60</v>
      </c>
      <c r="F145" s="4">
        <v>124</v>
      </c>
      <c r="G145" s="4">
        <f t="shared" si="4"/>
        <v>64</v>
      </c>
      <c r="H145">
        <f t="shared" si="5"/>
        <v>12.8</v>
      </c>
      <c r="I145" t="s">
        <v>42</v>
      </c>
      <c r="J145" t="s">
        <v>43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 s="4">
        <v>45</v>
      </c>
      <c r="F146" s="4">
        <v>87</v>
      </c>
      <c r="G146" s="4">
        <f t="shared" si="4"/>
        <v>42</v>
      </c>
      <c r="H146">
        <f t="shared" si="5"/>
        <v>8.4</v>
      </c>
      <c r="I146" t="s">
        <v>42</v>
      </c>
      <c r="J146" t="s">
        <v>43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 s="4">
        <v>344</v>
      </c>
      <c r="F147" s="4">
        <v>502</v>
      </c>
      <c r="G147" s="4">
        <f t="shared" si="4"/>
        <v>158</v>
      </c>
      <c r="H147">
        <f t="shared" si="5"/>
        <v>31.6</v>
      </c>
      <c r="I147" t="s">
        <v>42</v>
      </c>
      <c r="J147" t="s">
        <v>43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 s="4">
        <v>58.3</v>
      </c>
      <c r="F148" s="4">
        <v>98.4</v>
      </c>
      <c r="G148" s="4">
        <f t="shared" si="4"/>
        <v>40.100000000000009</v>
      </c>
      <c r="H148">
        <f t="shared" si="5"/>
        <v>8.0200000000000014</v>
      </c>
      <c r="I148" t="s">
        <v>36</v>
      </c>
      <c r="J148" t="s">
        <v>37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 s="4">
        <v>4</v>
      </c>
      <c r="F149" s="4">
        <v>7</v>
      </c>
      <c r="G149" s="4">
        <f t="shared" si="4"/>
        <v>3</v>
      </c>
      <c r="H149">
        <f t="shared" si="5"/>
        <v>0.30000000000000004</v>
      </c>
      <c r="I149" t="s">
        <v>40</v>
      </c>
      <c r="J149" t="s">
        <v>41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 s="4">
        <v>344</v>
      </c>
      <c r="F150" s="4">
        <v>502</v>
      </c>
      <c r="G150" s="4">
        <f t="shared" si="4"/>
        <v>158</v>
      </c>
      <c r="H150">
        <f t="shared" si="5"/>
        <v>31.6</v>
      </c>
      <c r="I150" t="s">
        <v>36</v>
      </c>
      <c r="J150" t="s">
        <v>37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 s="4">
        <v>60</v>
      </c>
      <c r="F151" s="4">
        <v>124</v>
      </c>
      <c r="G151" s="4">
        <f t="shared" si="4"/>
        <v>64</v>
      </c>
      <c r="H151">
        <f t="shared" si="5"/>
        <v>12.8</v>
      </c>
      <c r="I151" t="s">
        <v>40</v>
      </c>
      <c r="J151" t="s">
        <v>41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 s="4">
        <v>60</v>
      </c>
      <c r="F152" s="4">
        <v>124</v>
      </c>
      <c r="G152" s="4">
        <f t="shared" si="4"/>
        <v>64</v>
      </c>
      <c r="H152">
        <f t="shared" si="5"/>
        <v>12.8</v>
      </c>
      <c r="I152" t="s">
        <v>38</v>
      </c>
      <c r="J152" t="s">
        <v>39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 s="4">
        <v>45</v>
      </c>
      <c r="F153" s="4">
        <v>87</v>
      </c>
      <c r="G153" s="4">
        <f t="shared" si="4"/>
        <v>42</v>
      </c>
      <c r="H153">
        <f t="shared" si="5"/>
        <v>8.4</v>
      </c>
      <c r="I153" t="s">
        <v>36</v>
      </c>
      <c r="J153" t="s">
        <v>37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 s="4">
        <v>344</v>
      </c>
      <c r="F154" s="4">
        <v>502</v>
      </c>
      <c r="G154" s="4">
        <f t="shared" si="4"/>
        <v>158</v>
      </c>
      <c r="H154">
        <f t="shared" si="5"/>
        <v>31.6</v>
      </c>
      <c r="I154" t="s">
        <v>40</v>
      </c>
      <c r="J154" t="s">
        <v>41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 s="4">
        <v>58.3</v>
      </c>
      <c r="F155" s="4">
        <v>98.4</v>
      </c>
      <c r="G155" s="4">
        <f t="shared" si="4"/>
        <v>40.100000000000009</v>
      </c>
      <c r="H155">
        <f t="shared" si="5"/>
        <v>8.0200000000000014</v>
      </c>
      <c r="I155" t="s">
        <v>38</v>
      </c>
      <c r="J155" t="s">
        <v>39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 s="4">
        <v>45</v>
      </c>
      <c r="F156" s="4">
        <v>87</v>
      </c>
      <c r="G156" s="4">
        <f t="shared" si="4"/>
        <v>42</v>
      </c>
      <c r="H156">
        <f t="shared" si="5"/>
        <v>8.4</v>
      </c>
      <c r="I156" t="s">
        <v>40</v>
      </c>
      <c r="J156" t="s">
        <v>41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 s="4">
        <v>60</v>
      </c>
      <c r="F157" s="4">
        <v>124</v>
      </c>
      <c r="G157" s="4">
        <f t="shared" si="4"/>
        <v>64</v>
      </c>
      <c r="H157">
        <f t="shared" si="5"/>
        <v>12.8</v>
      </c>
      <c r="I157" t="s">
        <v>40</v>
      </c>
      <c r="J157" t="s">
        <v>41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 s="4">
        <v>4</v>
      </c>
      <c r="F158" s="4">
        <v>7</v>
      </c>
      <c r="G158" s="4">
        <f t="shared" si="4"/>
        <v>3</v>
      </c>
      <c r="H158">
        <f t="shared" si="5"/>
        <v>0.30000000000000004</v>
      </c>
      <c r="I158" t="s">
        <v>40</v>
      </c>
      <c r="J158" t="s">
        <v>41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 s="4">
        <v>344</v>
      </c>
      <c r="F159" s="4">
        <v>502</v>
      </c>
      <c r="G159" s="4">
        <f t="shared" si="4"/>
        <v>158</v>
      </c>
      <c r="H159">
        <f t="shared" si="5"/>
        <v>31.6</v>
      </c>
      <c r="I159" t="s">
        <v>36</v>
      </c>
      <c r="J159" t="s">
        <v>37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 s="4">
        <v>42</v>
      </c>
      <c r="F160" s="4">
        <v>77</v>
      </c>
      <c r="G160" s="4">
        <f t="shared" si="4"/>
        <v>35</v>
      </c>
      <c r="H160">
        <f t="shared" si="5"/>
        <v>7</v>
      </c>
      <c r="I160" t="s">
        <v>40</v>
      </c>
      <c r="J160" t="s">
        <v>41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 s="4">
        <v>58.3</v>
      </c>
      <c r="F161" s="4">
        <v>98.4</v>
      </c>
      <c r="G161" s="4">
        <f t="shared" si="4"/>
        <v>40.100000000000009</v>
      </c>
      <c r="H161">
        <f t="shared" si="5"/>
        <v>8.0200000000000014</v>
      </c>
      <c r="I161" t="s">
        <v>42</v>
      </c>
      <c r="J161" t="s">
        <v>43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4">
        <v>45</v>
      </c>
      <c r="F162" s="4">
        <v>87</v>
      </c>
      <c r="G162" s="4">
        <f t="shared" si="4"/>
        <v>42</v>
      </c>
      <c r="H162">
        <f t="shared" si="5"/>
        <v>8.4</v>
      </c>
      <c r="I162" t="s">
        <v>38</v>
      </c>
      <c r="J162" t="s">
        <v>39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4">
        <v>4</v>
      </c>
      <c r="F163" s="4">
        <v>7</v>
      </c>
      <c r="G163" s="4">
        <f t="shared" si="4"/>
        <v>3</v>
      </c>
      <c r="H163">
        <f t="shared" si="5"/>
        <v>0.30000000000000004</v>
      </c>
      <c r="I163" t="s">
        <v>36</v>
      </c>
      <c r="J163" t="s">
        <v>37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4">
        <v>4</v>
      </c>
      <c r="F164" s="4">
        <v>7</v>
      </c>
      <c r="G164" s="4">
        <f t="shared" si="4"/>
        <v>3</v>
      </c>
      <c r="H164">
        <f t="shared" si="5"/>
        <v>0.30000000000000004</v>
      </c>
      <c r="I164" t="s">
        <v>40</v>
      </c>
      <c r="J164" t="s">
        <v>41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4">
        <v>58.3</v>
      </c>
      <c r="F165" s="4">
        <v>98.4</v>
      </c>
      <c r="G165" s="4">
        <f t="shared" si="4"/>
        <v>40.100000000000009</v>
      </c>
      <c r="H165">
        <f t="shared" si="5"/>
        <v>8.0200000000000014</v>
      </c>
      <c r="I165" t="s">
        <v>40</v>
      </c>
      <c r="J165" t="s">
        <v>41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4">
        <v>58.3</v>
      </c>
      <c r="F166" s="4">
        <v>98.4</v>
      </c>
      <c r="G166" s="4">
        <f t="shared" si="4"/>
        <v>40.100000000000009</v>
      </c>
      <c r="H166">
        <f t="shared" si="5"/>
        <v>8.0200000000000014</v>
      </c>
      <c r="I166" t="s">
        <v>40</v>
      </c>
      <c r="J166" t="s">
        <v>41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4">
        <v>344</v>
      </c>
      <c r="F167" s="4">
        <v>502</v>
      </c>
      <c r="G167" s="4">
        <f t="shared" si="4"/>
        <v>158</v>
      </c>
      <c r="H167">
        <f t="shared" si="5"/>
        <v>31.6</v>
      </c>
      <c r="I167" t="s">
        <v>40</v>
      </c>
      <c r="J167" t="s">
        <v>41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4">
        <v>60</v>
      </c>
      <c r="F168" s="4">
        <v>124</v>
      </c>
      <c r="G168" s="4">
        <f t="shared" si="4"/>
        <v>64</v>
      </c>
      <c r="H168">
        <f t="shared" si="5"/>
        <v>12.8</v>
      </c>
      <c r="I168" t="s">
        <v>40</v>
      </c>
      <c r="J168" t="s">
        <v>41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4">
        <v>58.3</v>
      </c>
      <c r="F169" s="4">
        <v>98.4</v>
      </c>
      <c r="G169" s="4">
        <f t="shared" si="4"/>
        <v>40.100000000000009</v>
      </c>
      <c r="H169">
        <f t="shared" si="5"/>
        <v>8.0200000000000014</v>
      </c>
      <c r="I169" t="s">
        <v>40</v>
      </c>
      <c r="J169" t="s">
        <v>41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4">
        <v>344</v>
      </c>
      <c r="F170" s="4">
        <v>502</v>
      </c>
      <c r="G170" s="4">
        <f t="shared" si="4"/>
        <v>158</v>
      </c>
      <c r="H170">
        <f t="shared" si="5"/>
        <v>31.6</v>
      </c>
      <c r="I170" t="s">
        <v>40</v>
      </c>
      <c r="J170" t="s">
        <v>41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4">
        <v>45</v>
      </c>
      <c r="F171" s="4">
        <v>87</v>
      </c>
      <c r="G171" s="4">
        <f t="shared" si="4"/>
        <v>42</v>
      </c>
      <c r="H171">
        <f t="shared" si="5"/>
        <v>8.4</v>
      </c>
      <c r="I171" t="s">
        <v>36</v>
      </c>
      <c r="J171" t="s">
        <v>37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4">
        <v>45</v>
      </c>
      <c r="F172" s="4">
        <v>87</v>
      </c>
      <c r="G172" s="4">
        <f t="shared" si="4"/>
        <v>42</v>
      </c>
      <c r="H172">
        <f t="shared" si="5"/>
        <v>8.4</v>
      </c>
      <c r="I172" t="s">
        <v>38</v>
      </c>
      <c r="J172" t="s">
        <v>39</v>
      </c>
      <c r="K172" t="s">
        <v>17</v>
      </c>
    </row>
    <row r="174" spans="1:11">
      <c r="A174" s="1" t="s">
        <v>47</v>
      </c>
      <c r="F174" s="4">
        <f>SUM(F2:F172)</f>
        <v>17110.599999999995</v>
      </c>
    </row>
    <row r="175" spans="1:11">
      <c r="A175" s="1" t="s">
        <v>48</v>
      </c>
      <c r="F175" s="4">
        <f>SUMIF(F2:F172,"&gt;50")</f>
        <v>16088.399999999994</v>
      </c>
    </row>
    <row r="176" spans="1:11">
      <c r="A176" s="1" t="s">
        <v>49</v>
      </c>
      <c r="F176" s="4">
        <f>SUMIF(F2:F172,"&lt;50")</f>
        <v>1022.1999999999997</v>
      </c>
    </row>
  </sheetData>
  <dataConsolidate topLabels="1">
    <dataRefs count="1">
      <dataRef ref="A2:G59" sheet="Sales"/>
    </dataRefs>
  </dataConsolidate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Dnyaneshwari Katkar</cp:lastModifiedBy>
  <dcterms:created xsi:type="dcterms:W3CDTF">2014-06-11T22:14:31Z</dcterms:created>
  <dcterms:modified xsi:type="dcterms:W3CDTF">2026-07-21T17:52:25Z</dcterms:modified>
</cp:coreProperties>
</file>