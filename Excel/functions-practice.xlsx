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3f59aaaf5f4e1f8/Desktop/Data-analysis/Excel/"/>
    </mc:Choice>
  </mc:AlternateContent>
  <xr:revisionPtr revIDLastSave="64" documentId="11_F25DC773A252ABDACC104861F95D7E645ADE58F0" xr6:coauthVersionLast="47" xr6:coauthVersionMax="47" xr10:uidLastSave="{072B63F5-CBCF-48CC-8D19-06F417850443}"/>
  <bookViews>
    <workbookView xWindow="-108" yWindow="-108" windowWidth="23256" windowHeight="12456" activeTab="1" xr2:uid="{00000000-000D-0000-FFFF-FFFF00000000}"/>
  </bookViews>
  <sheets>
    <sheet name="Employee data" sheetId="1" r:id="rId1"/>
    <sheet name="Exerc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 a="1"/>
  <c r="F4" i="1" a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" i="1" a="1"/>
  <c r="I3" i="1" a="1"/>
  <c r="I4" i="1" a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" i="1" a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<sst xmlns="http://schemas.openxmlformats.org/spreadsheetml/2006/main" count="140" uniqueCount="83">
  <si>
    <t>Emp_ID</t>
  </si>
  <si>
    <t>Name</t>
  </si>
  <si>
    <t>Department</t>
  </si>
  <si>
    <t>Gender</t>
  </si>
  <si>
    <t>Age</t>
  </si>
  <si>
    <t>Experience</t>
  </si>
  <si>
    <t>Salary</t>
  </si>
  <si>
    <t>Performance</t>
  </si>
  <si>
    <t>Bonus</t>
  </si>
  <si>
    <t>Aarav</t>
  </si>
  <si>
    <t>IT</t>
  </si>
  <si>
    <t>Male</t>
  </si>
  <si>
    <t>Priya</t>
  </si>
  <si>
    <t>HR</t>
  </si>
  <si>
    <t>Female</t>
  </si>
  <si>
    <t>Rohan</t>
  </si>
  <si>
    <t>Finance</t>
  </si>
  <si>
    <t>Sneha</t>
  </si>
  <si>
    <t>Vikram</t>
  </si>
  <si>
    <t>Sales</t>
  </si>
  <si>
    <t>Neha</t>
  </si>
  <si>
    <t>Karan</t>
  </si>
  <si>
    <t>Anjali</t>
  </si>
  <si>
    <t>Raj</t>
  </si>
  <si>
    <t>Pooja</t>
  </si>
  <si>
    <t>Aditya</t>
  </si>
  <si>
    <t>Kavya</t>
  </si>
  <si>
    <t>Arjun</t>
  </si>
  <si>
    <t>Meera</t>
  </si>
  <si>
    <t>Rahul</t>
  </si>
  <si>
    <t>Isha</t>
  </si>
  <si>
    <t>Manoj</t>
  </si>
  <si>
    <t>Diya</t>
  </si>
  <si>
    <t>Sumit</t>
  </si>
  <si>
    <t>Ritika</t>
  </si>
  <si>
    <t>Part</t>
  </si>
  <si>
    <t>Question</t>
  </si>
  <si>
    <t>Part 1 - IF</t>
  </si>
  <si>
    <t>Create an Age Group column: Age &lt; 25 → Young, 25–40 → Adult, Above 40 → Senior</t>
  </si>
  <si>
    <t>Create a Salary Category: Salary &lt; 40000 → Low, 40000–80000 → Medium, Above 80000 → High</t>
  </si>
  <si>
    <t>Create a Performance Result: Score ≥ 80 → Excellent, Otherwise → Needs Improvement</t>
  </si>
  <si>
    <t>Part 2 - IFS</t>
  </si>
  <si>
    <t>Rewrite the Age Group column using IFS()</t>
  </si>
  <si>
    <t>Rewrite the Salary Category column using IFS()</t>
  </si>
  <si>
    <t>Part 3 - AND/OR</t>
  </si>
  <si>
    <t>High Performer: Performance ≥ 90 AND Salary &gt; 60000</t>
  </si>
  <si>
    <t>Promotion Eligible: Experience ≥ 10 OR Performance ≥ 95</t>
  </si>
  <si>
    <t>Senior Manager: Age ≥ 45 AND Experience ≥ 20</t>
  </si>
  <si>
    <t>Part 4 - IFERROR</t>
  </si>
  <si>
    <t>Create a table with A:100,50,75,80,60 and B:20,0,15,0,12</t>
  </si>
  <si>
    <t>Calculate =A2/B2</t>
  </si>
  <si>
    <t>Replace errors using =IFERROR(A2/B2,"Division by Zero")</t>
  </si>
  <si>
    <t>Part 5 - COUNTIF</t>
  </si>
  <si>
    <t>Find Total Males</t>
  </si>
  <si>
    <t>Find Total Females</t>
  </si>
  <si>
    <t>Find Employees in IT</t>
  </si>
  <si>
    <t>Find Employees with High Salary</t>
  </si>
  <si>
    <t>Find Employees with Excellent Performance</t>
  </si>
  <si>
    <t>Part 6 - COUNTIFS</t>
  </si>
  <si>
    <t>Find Female Employees in IT</t>
  </si>
  <si>
    <t>Find Male Employees with Salary &gt; 50000</t>
  </si>
  <si>
    <t>Find HR Employees with Performance ≥ 90</t>
  </si>
  <si>
    <t>Find Finance Employees with Experience &gt; 5</t>
  </si>
  <si>
    <t>Find Sales Employees who are Seniors</t>
  </si>
  <si>
    <t>Part 7 - SUMIF</t>
  </si>
  <si>
    <t>Find Total Salary of IT Employees</t>
  </si>
  <si>
    <t>Find Total Bonus of HR Employees</t>
  </si>
  <si>
    <t>Find Total Salary of Female Employees</t>
  </si>
  <si>
    <t>Part 8 - SUMIFS</t>
  </si>
  <si>
    <t>Find Total Salary of Female Employees in IT</t>
  </si>
  <si>
    <t>Find Total Bonus of Sales Employees with Performance ≥ 80</t>
  </si>
  <si>
    <t>Find Total Salary of Finance Employees with Experience &gt; 5</t>
  </si>
  <si>
    <t>Part 9 - AVERAGEIF</t>
  </si>
  <si>
    <t>Find Average Salary of IT Employees</t>
  </si>
  <si>
    <t>Find Average Performance of Female Employees</t>
  </si>
  <si>
    <t>Find Average Bonus of HR Employees</t>
  </si>
  <si>
    <t>Part 10 - AVERAGEIFS</t>
  </si>
  <si>
    <t>Find Average Salary of Female Employees</t>
  </si>
  <si>
    <t>Find Average Performance of IT Employees with Salary &gt; 50000</t>
  </si>
  <si>
    <t>Find Average Bonus of Sales Employees with Experience ≥ 10</t>
  </si>
  <si>
    <t>Age group</t>
  </si>
  <si>
    <t>Salary Category</t>
  </si>
  <si>
    <t>Performance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</si>
</sst>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F18" sqref="F18"/>
    </sheetView>
  </sheetViews>
  <sheetFormatPr defaultRowHeight="14.4"/>
  <cols>
    <col min="1" max="1" width="8.6640625" bestFit="1" customWidth="1"/>
    <col min="2" max="2" width="8" bestFit="1" customWidth="1"/>
    <col min="3" max="3" width="12.109375" bestFit="1" customWidth="1"/>
    <col min="4" max="4" width="8.21875" bestFit="1" customWidth="1"/>
    <col min="5" max="5" width="5.33203125" bestFit="1" customWidth="1"/>
    <col min="6" max="6" width="11" bestFit="1" customWidth="1"/>
    <col min="7" max="7" width="11.21875" bestFit="1" customWidth="1"/>
    <col min="8" max="8" width="8.33203125" bestFit="1" customWidth="1"/>
    <col min="9" max="9" width="15.5546875" bestFit="1" customWidth="1"/>
    <col min="10" max="10" width="12.88671875" bestFit="1" customWidth="1"/>
    <col min="11" max="11" width="18.5546875" bestFit="1" customWidth="1"/>
    <col min="12" max="12" width="7.33203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80</v>
      </c>
      <c r="G1" s="2" t="s">
        <v>5</v>
      </c>
      <c r="H1" s="2" t="s">
        <v>6</v>
      </c>
      <c r="I1" s="2" t="s">
        <v>81</v>
      </c>
      <c r="J1" s="2" t="s">
        <v>7</v>
      </c>
      <c r="K1" s="2" t="s">
        <v>82</v>
      </c>
      <c r="L1" s="2" t="s">
        <v>8</v>
      </c>
    </row>
    <row r="2" spans="1:12">
      <c r="A2" s="1">
        <v>101</v>
      </c>
      <c r="B2" s="1" t="s">
        <v>9</v>
      </c>
      <c r="C2" s="1" t="s">
        <v>10</v>
      </c>
      <c r="D2" s="1" t="s">
        <v>11</v>
      </c>
      <c r="E2" s="1">
        <v>24</v>
      </c>
      <c r="F2" s="1" t="str" cm="1">
        <f t="array" ref="F2">_xlfn.IFS(E2&lt;25,"Young",E2&lt;40,"Adult",TRUE,"Senior")</f>
        <v>Young</v>
      </c>
      <c r="G2" s="1">
        <v>2</v>
      </c>
      <c r="H2" s="1">
        <v>35000</v>
      </c>
      <c r="I2" s="1" t="str" cm="1">
        <f t="array" ref="I2">_xlfn.IFS(H2&lt;40000,"Low",H2&lt;80000,"Medium",TRUE,"High")</f>
        <v>Low</v>
      </c>
      <c r="J2" s="1">
        <v>82</v>
      </c>
      <c r="K2" s="1" t="str">
        <f>IF(J2&gt;=80,"Excellent","Needs Improvement")</f>
        <v>Excellent</v>
      </c>
      <c r="L2" s="1">
        <v>3000</v>
      </c>
    </row>
    <row r="3" spans="1:12">
      <c r="A3" s="1">
        <v>102</v>
      </c>
      <c r="B3" s="1" t="s">
        <v>12</v>
      </c>
      <c r="C3" s="1" t="s">
        <v>13</v>
      </c>
      <c r="D3" s="1" t="s">
        <v>14</v>
      </c>
      <c r="E3" s="1">
        <v>31</v>
      </c>
      <c r="F3" s="1" t="str" cm="1">
        <f t="array" ref="F3">_xlfn.IFS(E3&lt;25,"Young",E3&lt;40,"Adult",TRUE,"Senior")</f>
        <v>Adult</v>
      </c>
      <c r="G3" s="1">
        <v>7</v>
      </c>
      <c r="H3" s="1">
        <v>65000</v>
      </c>
      <c r="I3" s="1" t="str" cm="1">
        <f t="array" ref="I3">_xlfn.IFS(H3&lt;40000,"Low",H3&lt;80000,"Medium",TRUE,"High")</f>
        <v>Medium</v>
      </c>
      <c r="J3" s="1">
        <v>91</v>
      </c>
      <c r="K3" s="1" t="str">
        <f t="shared" ref="K3:K21" si="0">IF(J3&gt;=80,"Excellent","Needs Improvement")</f>
        <v>Excellent</v>
      </c>
      <c r="L3" s="1">
        <v>6000</v>
      </c>
    </row>
    <row r="4" spans="1:12">
      <c r="A4" s="1">
        <v>103</v>
      </c>
      <c r="B4" s="1" t="s">
        <v>15</v>
      </c>
      <c r="C4" s="1" t="s">
        <v>16</v>
      </c>
      <c r="D4" s="1" t="s">
        <v>11</v>
      </c>
      <c r="E4" s="1">
        <v>45</v>
      </c>
      <c r="F4" s="1" t="str" cm="1">
        <f t="array" ref="F4">_xlfn.IFS(E4&lt;25,"Young",E4&lt;40,"Adult",TRUE,"Senior")</f>
        <v>Senior</v>
      </c>
      <c r="G4" s="1">
        <v>18</v>
      </c>
      <c r="H4" s="1">
        <v>90000</v>
      </c>
      <c r="I4" s="1" t="str" cm="1">
        <f t="array" ref="I4">_xlfn.IFS(H4&lt;40000,"Low",H4&lt;80000,"Medium",TRUE,"High")</f>
        <v>High</v>
      </c>
      <c r="J4" s="1">
        <v>76</v>
      </c>
      <c r="K4" s="1" t="str">
        <f t="shared" si="0"/>
        <v>Needs Improvement</v>
      </c>
      <c r="L4" s="1">
        <v>5000</v>
      </c>
    </row>
    <row r="5" spans="1:12">
      <c r="A5" s="1">
        <v>104</v>
      </c>
      <c r="B5" s="1" t="s">
        <v>17</v>
      </c>
      <c r="C5" s="1" t="s">
        <v>10</v>
      </c>
      <c r="D5" s="1" t="s">
        <v>14</v>
      </c>
      <c r="E5" s="1">
        <v>22</v>
      </c>
      <c r="F5" s="1" t="str" cm="1">
        <f t="array" ref="F5">_xlfn.IFS(E5&lt;25,"Young",E5&lt;40,"Adult",TRUE,"Senior")</f>
        <v>Young</v>
      </c>
      <c r="G5" s="1">
        <v>1</v>
      </c>
      <c r="H5" s="1">
        <v>32000</v>
      </c>
      <c r="I5" s="1" t="str" cm="1">
        <f t="array" ref="I5">_xlfn.IFS(H5&lt;40000,"Low",H5&lt;80000,"Medium",TRUE,"High")</f>
        <v>Low</v>
      </c>
      <c r="J5" s="1">
        <v>88</v>
      </c>
      <c r="K5" s="1" t="str">
        <f t="shared" si="0"/>
        <v>Excellent</v>
      </c>
      <c r="L5" s="1">
        <v>2500</v>
      </c>
    </row>
    <row r="6" spans="1:12">
      <c r="A6" s="1">
        <v>105</v>
      </c>
      <c r="B6" s="1" t="s">
        <v>18</v>
      </c>
      <c r="C6" s="1" t="s">
        <v>19</v>
      </c>
      <c r="D6" s="1" t="s">
        <v>11</v>
      </c>
      <c r="E6" s="1">
        <v>39</v>
      </c>
      <c r="F6" s="1" t="str" cm="1">
        <f t="array" ref="F6">_xlfn.IFS(E6&lt;25,"Young",E6&lt;40,"Adult",TRUE,"Senior")</f>
        <v>Adult</v>
      </c>
      <c r="G6" s="1">
        <v>12</v>
      </c>
      <c r="H6" s="1">
        <v>72000</v>
      </c>
      <c r="I6" s="1" t="str" cm="1">
        <f t="array" ref="I6">_xlfn.IFS(H6&lt;40000,"Low",H6&lt;80000,"Medium",TRUE,"High")</f>
        <v>Medium</v>
      </c>
      <c r="J6" s="1">
        <v>69</v>
      </c>
      <c r="K6" s="1" t="str">
        <f t="shared" si="0"/>
        <v>Needs Improvement</v>
      </c>
      <c r="L6" s="1">
        <v>4000</v>
      </c>
    </row>
    <row r="7" spans="1:12">
      <c r="A7" s="1">
        <v>106</v>
      </c>
      <c r="B7" s="1" t="s">
        <v>20</v>
      </c>
      <c r="C7" s="1" t="s">
        <v>16</v>
      </c>
      <c r="D7" s="1" t="s">
        <v>14</v>
      </c>
      <c r="E7" s="1">
        <v>28</v>
      </c>
      <c r="F7" s="1" t="str" cm="1">
        <f t="array" ref="F7">_xlfn.IFS(E7&lt;25,"Young",E7&lt;40,"Adult",TRUE,"Senior")</f>
        <v>Adult</v>
      </c>
      <c r="G7" s="1">
        <v>5</v>
      </c>
      <c r="H7" s="1">
        <v>54000</v>
      </c>
      <c r="I7" s="1" t="str" cm="1">
        <f t="array" ref="I7">_xlfn.IFS(H7&lt;40000,"Low",H7&lt;80000,"Medium",TRUE,"High")</f>
        <v>Medium</v>
      </c>
      <c r="J7" s="1">
        <v>95</v>
      </c>
      <c r="K7" s="1" t="str">
        <f t="shared" si="0"/>
        <v>Excellent</v>
      </c>
      <c r="L7" s="1">
        <v>7000</v>
      </c>
    </row>
    <row r="8" spans="1:12">
      <c r="A8" s="1">
        <v>107</v>
      </c>
      <c r="B8" s="1" t="s">
        <v>21</v>
      </c>
      <c r="C8" s="1" t="s">
        <v>10</v>
      </c>
      <c r="D8" s="1" t="s">
        <v>11</v>
      </c>
      <c r="E8" s="1">
        <v>52</v>
      </c>
      <c r="F8" s="1" t="str" cm="1">
        <f t="array" ref="F8">_xlfn.IFS(E8&lt;25,"Young",E8&lt;40,"Adult",TRUE,"Senior")</f>
        <v>Senior</v>
      </c>
      <c r="G8" s="1">
        <v>25</v>
      </c>
      <c r="H8" s="1">
        <v>120000</v>
      </c>
      <c r="I8" s="1" t="str" cm="1">
        <f t="array" ref="I8">_xlfn.IFS(H8&lt;40000,"Low",H8&lt;80000,"Medium",TRUE,"High")</f>
        <v>High</v>
      </c>
      <c r="J8" s="1">
        <v>84</v>
      </c>
      <c r="K8" s="1" t="str">
        <f t="shared" si="0"/>
        <v>Excellent</v>
      </c>
      <c r="L8" s="1">
        <v>9000</v>
      </c>
    </row>
    <row r="9" spans="1:12">
      <c r="A9" s="1">
        <v>108</v>
      </c>
      <c r="B9" s="1" t="s">
        <v>22</v>
      </c>
      <c r="C9" s="1" t="s">
        <v>13</v>
      </c>
      <c r="D9" s="1" t="s">
        <v>14</v>
      </c>
      <c r="E9" s="1">
        <v>41</v>
      </c>
      <c r="F9" s="1" t="str" cm="1">
        <f t="array" ref="F9">_xlfn.IFS(E9&lt;25,"Young",E9&lt;40,"Adult",TRUE,"Senior")</f>
        <v>Senior</v>
      </c>
      <c r="G9" s="1">
        <v>15</v>
      </c>
      <c r="H9" s="1">
        <v>81000</v>
      </c>
      <c r="I9" s="1" t="str" cm="1">
        <f t="array" ref="I9">_xlfn.IFS(H9&lt;40000,"Low",H9&lt;80000,"Medium",TRUE,"High")</f>
        <v>High</v>
      </c>
      <c r="J9" s="1">
        <v>73</v>
      </c>
      <c r="K9" s="1" t="str">
        <f t="shared" si="0"/>
        <v>Needs Improvement</v>
      </c>
      <c r="L9" s="1">
        <v>4500</v>
      </c>
    </row>
    <row r="10" spans="1:12">
      <c r="A10" s="1">
        <v>109</v>
      </c>
      <c r="B10" s="1" t="s">
        <v>23</v>
      </c>
      <c r="C10" s="1" t="s">
        <v>19</v>
      </c>
      <c r="D10" s="1" t="s">
        <v>11</v>
      </c>
      <c r="E10" s="1">
        <v>26</v>
      </c>
      <c r="F10" s="1" t="str" cm="1">
        <f t="array" ref="F10">_xlfn.IFS(E10&lt;25,"Young",E10&lt;40,"Adult",TRUE,"Senior")</f>
        <v>Adult</v>
      </c>
      <c r="G10" s="1">
        <v>3</v>
      </c>
      <c r="H10" s="1">
        <v>42000</v>
      </c>
      <c r="I10" s="1" t="str" cm="1">
        <f t="array" ref="I10">_xlfn.IFS(H10&lt;40000,"Low",H10&lt;80000,"Medium",TRUE,"High")</f>
        <v>Medium</v>
      </c>
      <c r="J10" s="1">
        <v>65</v>
      </c>
      <c r="K10" s="1" t="str">
        <f t="shared" si="0"/>
        <v>Needs Improvement</v>
      </c>
      <c r="L10" s="1">
        <v>2000</v>
      </c>
    </row>
    <row r="11" spans="1:12">
      <c r="A11" s="1">
        <v>110</v>
      </c>
      <c r="B11" s="1" t="s">
        <v>24</v>
      </c>
      <c r="C11" s="1" t="s">
        <v>10</v>
      </c>
      <c r="D11" s="1" t="s">
        <v>14</v>
      </c>
      <c r="E11" s="1">
        <v>36</v>
      </c>
      <c r="F11" s="1" t="str" cm="1">
        <f t="array" ref="F11">_xlfn.IFS(E11&lt;25,"Young",E11&lt;40,"Adult",TRUE,"Senior")</f>
        <v>Adult</v>
      </c>
      <c r="G11" s="1">
        <v>10</v>
      </c>
      <c r="H11" s="1">
        <v>75000</v>
      </c>
      <c r="I11" s="1" t="str" cm="1">
        <f t="array" ref="I11">_xlfn.IFS(H11&lt;40000,"Low",H11&lt;80000,"Medium",TRUE,"High")</f>
        <v>Medium</v>
      </c>
      <c r="J11" s="1">
        <v>97</v>
      </c>
      <c r="K11" s="1" t="str">
        <f t="shared" si="0"/>
        <v>Excellent</v>
      </c>
      <c r="L11" s="1">
        <v>8000</v>
      </c>
    </row>
    <row r="12" spans="1:12">
      <c r="A12" s="1">
        <v>111</v>
      </c>
      <c r="B12" s="1" t="s">
        <v>25</v>
      </c>
      <c r="C12" s="1" t="s">
        <v>16</v>
      </c>
      <c r="D12" s="1" t="s">
        <v>11</v>
      </c>
      <c r="E12" s="1">
        <v>29</v>
      </c>
      <c r="F12" s="1" t="str" cm="1">
        <f t="array" ref="F12">_xlfn.IFS(E12&lt;25,"Young",E12&lt;40,"Adult",TRUE,"Senior")</f>
        <v>Adult</v>
      </c>
      <c r="G12" s="1">
        <v>6</v>
      </c>
      <c r="H12" s="1">
        <v>58000</v>
      </c>
      <c r="I12" s="1" t="str" cm="1">
        <f t="array" ref="I12">_xlfn.IFS(H12&lt;40000,"Low",H12&lt;80000,"Medium",TRUE,"High")</f>
        <v>Medium</v>
      </c>
      <c r="J12" s="1">
        <v>80</v>
      </c>
      <c r="K12" s="1" t="str">
        <f t="shared" si="0"/>
        <v>Excellent</v>
      </c>
      <c r="L12" s="1">
        <v>3500</v>
      </c>
    </row>
    <row r="13" spans="1:12">
      <c r="A13" s="1">
        <v>112</v>
      </c>
      <c r="B13" s="1" t="s">
        <v>26</v>
      </c>
      <c r="C13" s="1" t="s">
        <v>13</v>
      </c>
      <c r="D13" s="1" t="s">
        <v>14</v>
      </c>
      <c r="E13" s="1">
        <v>24</v>
      </c>
      <c r="F13" s="1" t="str" cm="1">
        <f t="array" ref="F13">_xlfn.IFS(E13&lt;25,"Young",E13&lt;40,"Adult",TRUE,"Senior")</f>
        <v>Young</v>
      </c>
      <c r="G13" s="1">
        <v>2</v>
      </c>
      <c r="H13" s="1">
        <v>37000</v>
      </c>
      <c r="I13" s="1" t="str" cm="1">
        <f t="array" ref="I13">_xlfn.IFS(H13&lt;40000,"Low",H13&lt;80000,"Medium",TRUE,"High")</f>
        <v>Low</v>
      </c>
      <c r="J13" s="1">
        <v>90</v>
      </c>
      <c r="K13" s="1" t="str">
        <f t="shared" si="0"/>
        <v>Excellent</v>
      </c>
      <c r="L13" s="1">
        <v>3000</v>
      </c>
    </row>
    <row r="14" spans="1:12">
      <c r="A14" s="1">
        <v>113</v>
      </c>
      <c r="B14" s="1" t="s">
        <v>27</v>
      </c>
      <c r="C14" s="1" t="s">
        <v>19</v>
      </c>
      <c r="D14" s="1" t="s">
        <v>11</v>
      </c>
      <c r="E14" s="1">
        <v>33</v>
      </c>
      <c r="F14" s="1" t="str" cm="1">
        <f t="array" ref="F14">_xlfn.IFS(E14&lt;25,"Young",E14&lt;40,"Adult",TRUE,"Senior")</f>
        <v>Adult</v>
      </c>
      <c r="G14" s="1">
        <v>9</v>
      </c>
      <c r="H14" s="1">
        <v>69000</v>
      </c>
      <c r="I14" s="1" t="str" cm="1">
        <f t="array" ref="I14">_xlfn.IFS(H14&lt;40000,"Low",H14&lt;80000,"Medium",TRUE,"High")</f>
        <v>Medium</v>
      </c>
      <c r="J14" s="1">
        <v>55</v>
      </c>
      <c r="K14" s="1" t="str">
        <f t="shared" si="0"/>
        <v>Needs Improvement</v>
      </c>
      <c r="L14" s="1">
        <v>1500</v>
      </c>
    </row>
    <row r="15" spans="1:12">
      <c r="A15" s="1">
        <v>114</v>
      </c>
      <c r="B15" s="1" t="s">
        <v>28</v>
      </c>
      <c r="C15" s="1" t="s">
        <v>10</v>
      </c>
      <c r="D15" s="1" t="s">
        <v>14</v>
      </c>
      <c r="E15" s="1">
        <v>48</v>
      </c>
      <c r="F15" s="1" t="str" cm="1">
        <f t="array" ref="F15">_xlfn.IFS(E15&lt;25,"Young",E15&lt;40,"Adult",TRUE,"Senior")</f>
        <v>Senior</v>
      </c>
      <c r="G15" s="1">
        <v>20</v>
      </c>
      <c r="H15" s="1">
        <v>110000</v>
      </c>
      <c r="I15" s="1" t="str" cm="1">
        <f t="array" ref="I15">_xlfn.IFS(H15&lt;40000,"Low",H15&lt;80000,"Medium",TRUE,"High")</f>
        <v>High</v>
      </c>
      <c r="J15" s="1">
        <v>93</v>
      </c>
      <c r="K15" s="1" t="str">
        <f t="shared" si="0"/>
        <v>Excellent</v>
      </c>
      <c r="L15" s="1">
        <v>10000</v>
      </c>
    </row>
    <row r="16" spans="1:12">
      <c r="A16" s="1">
        <v>115</v>
      </c>
      <c r="B16" s="1" t="s">
        <v>29</v>
      </c>
      <c r="C16" s="1" t="s">
        <v>16</v>
      </c>
      <c r="D16" s="1" t="s">
        <v>11</v>
      </c>
      <c r="E16" s="1">
        <v>27</v>
      </c>
      <c r="F16" s="1" t="str" cm="1">
        <f t="array" ref="F16">_xlfn.IFS(E16&lt;25,"Young",E16&lt;40,"Adult",TRUE,"Senior")</f>
        <v>Adult</v>
      </c>
      <c r="G16" s="1">
        <v>4</v>
      </c>
      <c r="H16" s="1">
        <v>51000</v>
      </c>
      <c r="I16" s="1" t="str" cm="1">
        <f t="array" ref="I16">_xlfn.IFS(H16&lt;40000,"Low",H16&lt;80000,"Medium",TRUE,"High")</f>
        <v>Medium</v>
      </c>
      <c r="J16" s="1">
        <v>71</v>
      </c>
      <c r="K16" s="1" t="str">
        <f t="shared" si="0"/>
        <v>Needs Improvement</v>
      </c>
      <c r="L16" s="1">
        <v>3000</v>
      </c>
    </row>
    <row r="17" spans="1:12">
      <c r="A17" s="1">
        <v>116</v>
      </c>
      <c r="B17" s="1" t="s">
        <v>30</v>
      </c>
      <c r="C17" s="1" t="s">
        <v>13</v>
      </c>
      <c r="D17" s="1" t="s">
        <v>14</v>
      </c>
      <c r="E17" s="1">
        <v>23</v>
      </c>
      <c r="F17" s="1" t="str" cm="1">
        <f t="array" ref="F17">_xlfn.IFS(E17&lt;25,"Young",E17&lt;40,"Adult",TRUE,"Senior")</f>
        <v>Young</v>
      </c>
      <c r="G17" s="1">
        <v>1</v>
      </c>
      <c r="H17" s="1">
        <v>33000</v>
      </c>
      <c r="I17" s="1" t="str" cm="1">
        <f t="array" ref="I17">_xlfn.IFS(H17&lt;40000,"Low",H17&lt;80000,"Medium",TRUE,"High")</f>
        <v>Low</v>
      </c>
      <c r="J17" s="1">
        <v>87</v>
      </c>
      <c r="K17" s="1" t="str">
        <f t="shared" si="0"/>
        <v>Excellent</v>
      </c>
      <c r="L17" s="1">
        <v>2500</v>
      </c>
    </row>
    <row r="18" spans="1:12">
      <c r="A18" s="1">
        <v>117</v>
      </c>
      <c r="B18" s="1" t="s">
        <v>31</v>
      </c>
      <c r="C18" s="1" t="s">
        <v>19</v>
      </c>
      <c r="D18" s="1" t="s">
        <v>11</v>
      </c>
      <c r="E18" s="1">
        <v>55</v>
      </c>
      <c r="F18" s="1" t="str" cm="1">
        <f t="array" ref="F18">_xlfn.IFS(E18&lt;25,"Young",E18&lt;40,"Adult",TRUE,"Senior")</f>
        <v>Senior</v>
      </c>
      <c r="G18" s="1">
        <v>30</v>
      </c>
      <c r="H18" s="1">
        <v>130000</v>
      </c>
      <c r="I18" s="1" t="str" cm="1">
        <f t="array" ref="I18">_xlfn.IFS(H18&lt;40000,"Low",H18&lt;80000,"Medium",TRUE,"High")</f>
        <v>High</v>
      </c>
      <c r="J18" s="1">
        <v>98</v>
      </c>
      <c r="K18" s="1" t="str">
        <f t="shared" si="0"/>
        <v>Excellent</v>
      </c>
      <c r="L18" s="1">
        <v>12000</v>
      </c>
    </row>
    <row r="19" spans="1:12">
      <c r="A19" s="1">
        <v>118</v>
      </c>
      <c r="B19" s="1" t="s">
        <v>32</v>
      </c>
      <c r="C19" s="1" t="s">
        <v>10</v>
      </c>
      <c r="D19" s="1" t="s">
        <v>14</v>
      </c>
      <c r="E19" s="1">
        <v>38</v>
      </c>
      <c r="F19" s="1" t="str" cm="1">
        <f t="array" ref="F19">_xlfn.IFS(E19&lt;25,"Young",E19&lt;40,"Adult",TRUE,"Senior")</f>
        <v>Adult</v>
      </c>
      <c r="G19" s="1">
        <v>13</v>
      </c>
      <c r="H19" s="1">
        <v>82000</v>
      </c>
      <c r="I19" s="1" t="str" cm="1">
        <f t="array" ref="I19">_xlfn.IFS(H19&lt;40000,"Low",H19&lt;80000,"Medium",TRUE,"High")</f>
        <v>High</v>
      </c>
      <c r="J19" s="1">
        <v>79</v>
      </c>
      <c r="K19" s="1" t="str">
        <f t="shared" si="0"/>
        <v>Needs Improvement</v>
      </c>
      <c r="L19" s="1">
        <v>5000</v>
      </c>
    </row>
    <row r="20" spans="1:12">
      <c r="A20" s="1">
        <v>119</v>
      </c>
      <c r="B20" s="1" t="s">
        <v>33</v>
      </c>
      <c r="C20" s="1" t="s">
        <v>16</v>
      </c>
      <c r="D20" s="1" t="s">
        <v>11</v>
      </c>
      <c r="E20" s="1">
        <v>21</v>
      </c>
      <c r="F20" s="1" t="str" cm="1">
        <f t="array" ref="F20">_xlfn.IFS(E20&lt;25,"Young",E20&lt;40,"Adult",TRUE,"Senior")</f>
        <v>Young</v>
      </c>
      <c r="G20" s="1">
        <v>0</v>
      </c>
      <c r="H20" s="1">
        <v>28000</v>
      </c>
      <c r="I20" s="1" t="str" cm="1">
        <f t="array" ref="I20">_xlfn.IFS(H20&lt;40000,"Low",H20&lt;80000,"Medium",TRUE,"High")</f>
        <v>Low</v>
      </c>
      <c r="J20" s="1">
        <v>60</v>
      </c>
      <c r="K20" s="1" t="str">
        <f t="shared" si="0"/>
        <v>Needs Improvement</v>
      </c>
      <c r="L20" s="1">
        <v>1000</v>
      </c>
    </row>
    <row r="21" spans="1:12">
      <c r="A21" s="1">
        <v>120</v>
      </c>
      <c r="B21" s="1" t="s">
        <v>34</v>
      </c>
      <c r="C21" s="1" t="s">
        <v>13</v>
      </c>
      <c r="D21" s="1" t="s">
        <v>14</v>
      </c>
      <c r="E21" s="1">
        <v>43</v>
      </c>
      <c r="F21" s="1" t="str" cm="1">
        <f t="array" ref="F21">_xlfn.IFS(E21&lt;25,"Young",E21&lt;40,"Adult",TRUE,"Senior")</f>
        <v>Senior</v>
      </c>
      <c r="G21" s="1">
        <v>17</v>
      </c>
      <c r="H21" s="1">
        <v>95000</v>
      </c>
      <c r="I21" s="1" t="str" cm="1">
        <f t="array" ref="I21">_xlfn.IFS(H21&lt;40000,"Low",H21&lt;80000,"Medium",TRUE,"High")</f>
        <v>High</v>
      </c>
      <c r="J21" s="1">
        <v>89</v>
      </c>
      <c r="K21" s="1" t="str">
        <f t="shared" si="0"/>
        <v>Excellent</v>
      </c>
      <c r="L21" s="1">
        <v>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FE6C-7120-45D9-8CAB-7097ABF5ACB1}">
  <dimension ref="A1:B120"/>
  <sheetViews>
    <sheetView tabSelected="1" workbookViewId="0">
      <selection activeCell="B7" sqref="B7"/>
    </sheetView>
  </sheetViews>
  <sheetFormatPr defaultRowHeight="14.4"/>
  <cols>
    <col min="1" max="1" width="24.88671875" bestFit="1" customWidth="1"/>
    <col min="2" max="2" width="80.44140625" style="13" bestFit="1" customWidth="1"/>
  </cols>
  <sheetData>
    <row r="1" spans="1:2" ht="23.4">
      <c r="A1" s="9" t="s">
        <v>35</v>
      </c>
      <c r="B1" s="12" t="s">
        <v>36</v>
      </c>
    </row>
    <row r="2" spans="1:2">
      <c r="A2" s="10" t="s">
        <v>37</v>
      </c>
      <c r="B2" s="13" t="s">
        <v>38</v>
      </c>
    </row>
    <row r="3" spans="1:2">
      <c r="A3" s="10" t="s">
        <v>37</v>
      </c>
      <c r="B3" s="13" t="s">
        <v>39</v>
      </c>
    </row>
    <row r="4" spans="1:2">
      <c r="A4" s="10" t="s">
        <v>37</v>
      </c>
      <c r="B4" s="13" t="s">
        <v>40</v>
      </c>
    </row>
    <row r="5" spans="1:2">
      <c r="A5" s="10" t="s">
        <v>41</v>
      </c>
      <c r="B5" s="13" t="s">
        <v>42</v>
      </c>
    </row>
    <row r="6" spans="1:2">
      <c r="A6" s="10" t="s">
        <v>41</v>
      </c>
      <c r="B6" s="13" t="s">
        <v>43</v>
      </c>
    </row>
    <row r="7" spans="1:2">
      <c r="A7" s="10" t="s">
        <v>44</v>
      </c>
      <c r="B7" s="13" t="s">
        <v>45</v>
      </c>
    </row>
    <row r="8" spans="1:2">
      <c r="A8" s="10" t="s">
        <v>44</v>
      </c>
      <c r="B8" s="13" t="s">
        <v>46</v>
      </c>
    </row>
    <row r="9" spans="1:2">
      <c r="A9" s="10" t="s">
        <v>44</v>
      </c>
      <c r="B9" s="13" t="s">
        <v>47</v>
      </c>
    </row>
    <row r="10" spans="1:2">
      <c r="A10" s="10" t="s">
        <v>48</v>
      </c>
      <c r="B10" s="13" t="s">
        <v>49</v>
      </c>
    </row>
    <row r="11" spans="1:2">
      <c r="A11" s="10" t="s">
        <v>48</v>
      </c>
      <c r="B11" s="13" t="s">
        <v>50</v>
      </c>
    </row>
    <row r="12" spans="1:2">
      <c r="A12" s="10" t="s">
        <v>48</v>
      </c>
      <c r="B12" s="13" t="s">
        <v>51</v>
      </c>
    </row>
    <row r="13" spans="1:2">
      <c r="A13" s="10" t="s">
        <v>52</v>
      </c>
      <c r="B13" s="13" t="s">
        <v>53</v>
      </c>
    </row>
    <row r="14" spans="1:2">
      <c r="A14" s="11" t="s">
        <v>52</v>
      </c>
      <c r="B14" s="13" t="s">
        <v>54</v>
      </c>
    </row>
    <row r="15" spans="1:2">
      <c r="A15" s="11" t="s">
        <v>52</v>
      </c>
      <c r="B15" s="13" t="s">
        <v>55</v>
      </c>
    </row>
    <row r="16" spans="1:2">
      <c r="A16" s="11" t="s">
        <v>52</v>
      </c>
      <c r="B16" s="13" t="s">
        <v>56</v>
      </c>
    </row>
    <row r="17" spans="1:2" ht="23.4">
      <c r="A17" s="9" t="s">
        <v>52</v>
      </c>
      <c r="B17" s="13" t="s">
        <v>57</v>
      </c>
    </row>
    <row r="18" spans="1:2">
      <c r="A18" s="11" t="s">
        <v>58</v>
      </c>
      <c r="B18" s="13" t="s">
        <v>59</v>
      </c>
    </row>
    <row r="19" spans="1:2">
      <c r="A19" s="11" t="s">
        <v>58</v>
      </c>
      <c r="B19" s="13" t="s">
        <v>60</v>
      </c>
    </row>
    <row r="20" spans="1:2">
      <c r="A20" s="11" t="s">
        <v>58</v>
      </c>
      <c r="B20" s="13" t="s">
        <v>61</v>
      </c>
    </row>
    <row r="21" spans="1:2">
      <c r="A21" s="11" t="s">
        <v>58</v>
      </c>
      <c r="B21" s="13" t="s">
        <v>62</v>
      </c>
    </row>
    <row r="22" spans="1:2">
      <c r="A22" s="11" t="s">
        <v>58</v>
      </c>
      <c r="B22" s="13" t="s">
        <v>63</v>
      </c>
    </row>
    <row r="23" spans="1:2" ht="23.4">
      <c r="A23" s="9" t="s">
        <v>64</v>
      </c>
      <c r="B23" s="13" t="s">
        <v>65</v>
      </c>
    </row>
    <row r="24" spans="1:2">
      <c r="A24" s="10" t="s">
        <v>64</v>
      </c>
      <c r="B24" s="13" t="s">
        <v>66</v>
      </c>
    </row>
    <row r="25" spans="1:2">
      <c r="A25" s="10" t="s">
        <v>64</v>
      </c>
      <c r="B25" s="13" t="s">
        <v>67</v>
      </c>
    </row>
    <row r="26" spans="1:2">
      <c r="A26" s="10" t="s">
        <v>68</v>
      </c>
      <c r="B26" s="13" t="s">
        <v>69</v>
      </c>
    </row>
    <row r="27" spans="1:2">
      <c r="A27" s="10" t="s">
        <v>68</v>
      </c>
      <c r="B27" s="13" t="s">
        <v>70</v>
      </c>
    </row>
    <row r="28" spans="1:2">
      <c r="A28" s="10" t="s">
        <v>68</v>
      </c>
      <c r="B28" s="13" t="s">
        <v>71</v>
      </c>
    </row>
    <row r="29" spans="1:2">
      <c r="A29" s="10" t="s">
        <v>72</v>
      </c>
      <c r="B29" s="13" t="s">
        <v>73</v>
      </c>
    </row>
    <row r="30" spans="1:2">
      <c r="A30" s="10" t="s">
        <v>72</v>
      </c>
      <c r="B30" s="13" t="s">
        <v>74</v>
      </c>
    </row>
    <row r="31" spans="1:2">
      <c r="A31" s="10" t="s">
        <v>72</v>
      </c>
      <c r="B31" s="13" t="s">
        <v>75</v>
      </c>
    </row>
    <row r="32" spans="1:2">
      <c r="A32" s="10" t="s">
        <v>76</v>
      </c>
      <c r="B32" s="13" t="s">
        <v>77</v>
      </c>
    </row>
    <row r="33" spans="1:2">
      <c r="A33" s="10" t="s">
        <v>76</v>
      </c>
      <c r="B33" s="13" t="s">
        <v>78</v>
      </c>
    </row>
    <row r="34" spans="1:2">
      <c r="A34" s="11" t="s">
        <v>76</v>
      </c>
      <c r="B34" s="13" t="s">
        <v>79</v>
      </c>
    </row>
    <row r="37" spans="1:2" ht="23.4">
      <c r="A37" s="4"/>
    </row>
    <row r="41" spans="1:2">
      <c r="A41" s="6"/>
      <c r="B41" s="14"/>
    </row>
    <row r="42" spans="1:2">
      <c r="A42" s="7"/>
      <c r="B42" s="15"/>
    </row>
    <row r="43" spans="1:2">
      <c r="A43" s="7"/>
      <c r="B43" s="15"/>
    </row>
    <row r="44" spans="1:2">
      <c r="A44" s="7"/>
      <c r="B44" s="15"/>
    </row>
    <row r="45" spans="1:2">
      <c r="A45" s="7"/>
      <c r="B45" s="15"/>
    </row>
    <row r="46" spans="1:2">
      <c r="A46" s="7"/>
      <c r="B46" s="15"/>
    </row>
    <row r="49" spans="1:1">
      <c r="A49" s="3"/>
    </row>
    <row r="50" spans="1:1">
      <c r="A50" s="8"/>
    </row>
    <row r="55" spans="1:1">
      <c r="A55" s="3"/>
    </row>
    <row r="56" spans="1:1">
      <c r="A56" s="8"/>
    </row>
    <row r="60" spans="1:1" ht="23.4">
      <c r="A60" s="4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72" spans="1:1" ht="23.4">
      <c r="A72" s="4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4" spans="1:1" ht="23.4">
      <c r="A84" s="4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4" spans="1:1" ht="23.4">
      <c r="A94" s="4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4" spans="1:1" ht="23.4">
      <c r="A104" s="4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4" spans="1:1" ht="23.4">
      <c r="A114" s="4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Dnyaneshwari Katkar</dc:creator>
  <cp:lastModifiedBy>Dnyaneshwari Katkar</cp:lastModifiedBy>
  <dcterms:created xsi:type="dcterms:W3CDTF">2015-06-05T18:17:20Z</dcterms:created>
  <dcterms:modified xsi:type="dcterms:W3CDTF">2026-08-01T15:50:08Z</dcterms:modified>
</cp:coreProperties>
</file>