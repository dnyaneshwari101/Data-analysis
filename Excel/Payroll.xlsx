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3f59aaaf5f4e1f8/Desktop/Data-analysis/Excel/"/>
    </mc:Choice>
  </mc:AlternateContent>
  <xr:revisionPtr revIDLastSave="0" documentId="13_ncr:1_{6A294D9C-541A-428F-8219-342C679DF6CC}" xr6:coauthVersionLast="47" xr6:coauthVersionMax="47" xr10:uidLastSave="{00000000-0000-0000-0000-000000000000}"/>
  <bookViews>
    <workbookView minimized="1" xWindow="5868" yWindow="0" windowWidth="17280" windowHeight="8880" activeTab="1" xr2:uid="{2CFDBAE4-3FF6-4C49-801A-99A4E4C3A217}"/>
  </bookViews>
  <sheets>
    <sheet name="Payroll" sheetId="2" r:id="rId1"/>
    <sheet name="Gradebook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3" l="1"/>
  <c r="E22" i="3"/>
  <c r="F22" i="3"/>
  <c r="G22" i="3"/>
  <c r="E23" i="3"/>
  <c r="F23" i="3"/>
  <c r="G23" i="3"/>
  <c r="I23" i="3"/>
  <c r="E24" i="3"/>
  <c r="F24" i="3"/>
  <c r="G24" i="3"/>
  <c r="I24" i="3"/>
  <c r="D24" i="3"/>
  <c r="D23" i="3"/>
  <c r="D22" i="3"/>
  <c r="N19" i="3"/>
  <c r="N20" i="3"/>
  <c r="J4" i="3"/>
  <c r="K4" i="3"/>
  <c r="L4" i="3"/>
  <c r="J5" i="3"/>
  <c r="N5" i="3" s="1"/>
  <c r="K5" i="3"/>
  <c r="L5" i="3"/>
  <c r="J6" i="3"/>
  <c r="K6" i="3"/>
  <c r="L6" i="3"/>
  <c r="J7" i="3"/>
  <c r="K7" i="3"/>
  <c r="L7" i="3"/>
  <c r="J8" i="3"/>
  <c r="N8" i="3" s="1"/>
  <c r="K8" i="3"/>
  <c r="L8" i="3"/>
  <c r="J9" i="3"/>
  <c r="K9" i="3"/>
  <c r="L9" i="3"/>
  <c r="J10" i="3"/>
  <c r="K10" i="3"/>
  <c r="L10" i="3"/>
  <c r="J11" i="3"/>
  <c r="N11" i="3" s="1"/>
  <c r="K11" i="3"/>
  <c r="L11" i="3"/>
  <c r="J12" i="3"/>
  <c r="K12" i="3"/>
  <c r="L12" i="3"/>
  <c r="J13" i="3"/>
  <c r="N13" i="3" s="1"/>
  <c r="K13" i="3"/>
  <c r="L13" i="3"/>
  <c r="J14" i="3"/>
  <c r="K14" i="3"/>
  <c r="L14" i="3"/>
  <c r="J15" i="3"/>
  <c r="N15" i="3" s="1"/>
  <c r="K15" i="3"/>
  <c r="L15" i="3"/>
  <c r="J16" i="3"/>
  <c r="N16" i="3" s="1"/>
  <c r="K16" i="3"/>
  <c r="L16" i="3"/>
  <c r="J17" i="3"/>
  <c r="N17" i="3" s="1"/>
  <c r="K17" i="3"/>
  <c r="L17" i="3"/>
  <c r="J18" i="3"/>
  <c r="N18" i="3" s="1"/>
  <c r="K18" i="3"/>
  <c r="L18" i="3"/>
  <c r="J19" i="3"/>
  <c r="K19" i="3"/>
  <c r="L19" i="3"/>
  <c r="J20" i="3"/>
  <c r="K20" i="3"/>
  <c r="L20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4" i="3"/>
  <c r="I22" i="3" s="1"/>
  <c r="AD25" i="2"/>
  <c r="AD24" i="2"/>
  <c r="AD23" i="2"/>
  <c r="AD22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4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E22" i="2"/>
  <c r="F22" i="2"/>
  <c r="G22" i="2"/>
  <c r="H22" i="2"/>
  <c r="E23" i="2"/>
  <c r="F23" i="2"/>
  <c r="G23" i="2"/>
  <c r="H23" i="2"/>
  <c r="E24" i="2"/>
  <c r="F24" i="2"/>
  <c r="G24" i="2"/>
  <c r="H24" i="2"/>
  <c r="E25" i="2"/>
  <c r="F25" i="2"/>
  <c r="G25" i="2"/>
  <c r="H25" i="2"/>
  <c r="AB20" i="2"/>
  <c r="Y4" i="2"/>
  <c r="Z4" i="2"/>
  <c r="AA4" i="2"/>
  <c r="AB4" i="2"/>
  <c r="Y5" i="2"/>
  <c r="Z5" i="2"/>
  <c r="AA5" i="2"/>
  <c r="AB5" i="2"/>
  <c r="Y6" i="2"/>
  <c r="Z6" i="2"/>
  <c r="AA6" i="2"/>
  <c r="AB6" i="2"/>
  <c r="Y7" i="2"/>
  <c r="Z7" i="2"/>
  <c r="AA7" i="2"/>
  <c r="AB7" i="2"/>
  <c r="Y8" i="2"/>
  <c r="Z8" i="2"/>
  <c r="AA8" i="2"/>
  <c r="AB8" i="2"/>
  <c r="Y9" i="2"/>
  <c r="Z9" i="2"/>
  <c r="AA9" i="2"/>
  <c r="AB9" i="2"/>
  <c r="Y10" i="2"/>
  <c r="Z10" i="2"/>
  <c r="AA10" i="2"/>
  <c r="AB10" i="2"/>
  <c r="Y11" i="2"/>
  <c r="Z11" i="2"/>
  <c r="AA11" i="2"/>
  <c r="AB11" i="2"/>
  <c r="Y12" i="2"/>
  <c r="Z12" i="2"/>
  <c r="AA12" i="2"/>
  <c r="AB12" i="2"/>
  <c r="Y13" i="2"/>
  <c r="Z13" i="2"/>
  <c r="AA13" i="2"/>
  <c r="AB13" i="2"/>
  <c r="Y14" i="2"/>
  <c r="Z14" i="2"/>
  <c r="AA14" i="2"/>
  <c r="AB14" i="2"/>
  <c r="Y15" i="2"/>
  <c r="Z15" i="2"/>
  <c r="AA15" i="2"/>
  <c r="AB15" i="2"/>
  <c r="Y16" i="2"/>
  <c r="Z16" i="2"/>
  <c r="AA16" i="2"/>
  <c r="AB16" i="2"/>
  <c r="Y17" i="2"/>
  <c r="Z17" i="2"/>
  <c r="AA17" i="2"/>
  <c r="AB17" i="2"/>
  <c r="Y18" i="2"/>
  <c r="Z18" i="2"/>
  <c r="AA18" i="2"/>
  <c r="AB18" i="2"/>
  <c r="Y19" i="2"/>
  <c r="Z19" i="2"/>
  <c r="AA19" i="2"/>
  <c r="AB19" i="2"/>
  <c r="Y20" i="2"/>
  <c r="Z20" i="2"/>
  <c r="AA20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4" i="2"/>
  <c r="AB3" i="2"/>
  <c r="Z3" i="2"/>
  <c r="AA3" i="2"/>
  <c r="Y3" i="2"/>
  <c r="W4" i="2"/>
  <c r="T4" i="2"/>
  <c r="U4" i="2"/>
  <c r="V4" i="2"/>
  <c r="T5" i="2"/>
  <c r="U5" i="2"/>
  <c r="V5" i="2"/>
  <c r="W5" i="2"/>
  <c r="T6" i="2"/>
  <c r="U6" i="2"/>
  <c r="V6" i="2"/>
  <c r="W6" i="2"/>
  <c r="T7" i="2"/>
  <c r="U7" i="2"/>
  <c r="V7" i="2"/>
  <c r="W7" i="2"/>
  <c r="T8" i="2"/>
  <c r="U8" i="2"/>
  <c r="V8" i="2"/>
  <c r="W8" i="2"/>
  <c r="T9" i="2"/>
  <c r="U9" i="2"/>
  <c r="V9" i="2"/>
  <c r="W9" i="2"/>
  <c r="T10" i="2"/>
  <c r="U10" i="2"/>
  <c r="V10" i="2"/>
  <c r="W10" i="2"/>
  <c r="T11" i="2"/>
  <c r="U11" i="2"/>
  <c r="V11" i="2"/>
  <c r="W11" i="2"/>
  <c r="T12" i="2"/>
  <c r="U12" i="2"/>
  <c r="V12" i="2"/>
  <c r="W12" i="2"/>
  <c r="T13" i="2"/>
  <c r="U13" i="2"/>
  <c r="V13" i="2"/>
  <c r="W13" i="2"/>
  <c r="T14" i="2"/>
  <c r="U14" i="2"/>
  <c r="V14" i="2"/>
  <c r="W14" i="2"/>
  <c r="T15" i="2"/>
  <c r="U15" i="2"/>
  <c r="V15" i="2"/>
  <c r="W15" i="2"/>
  <c r="T16" i="2"/>
  <c r="U16" i="2"/>
  <c r="V16" i="2"/>
  <c r="W16" i="2"/>
  <c r="T17" i="2"/>
  <c r="U17" i="2"/>
  <c r="V17" i="2"/>
  <c r="W17" i="2"/>
  <c r="T18" i="2"/>
  <c r="U18" i="2"/>
  <c r="V18" i="2"/>
  <c r="W18" i="2"/>
  <c r="T19" i="2"/>
  <c r="U19" i="2"/>
  <c r="V19" i="2"/>
  <c r="W19" i="2"/>
  <c r="T20" i="2"/>
  <c r="U20" i="2"/>
  <c r="V20" i="2"/>
  <c r="W20" i="2"/>
  <c r="S4" i="2"/>
  <c r="U3" i="2"/>
  <c r="V3" i="2"/>
  <c r="W3" i="2" s="1"/>
  <c r="T3" i="2"/>
  <c r="P4" i="2"/>
  <c r="Q4" i="2"/>
  <c r="R4" i="2"/>
  <c r="P5" i="2"/>
  <c r="Q5" i="2"/>
  <c r="R5" i="2"/>
  <c r="P6" i="2"/>
  <c r="Q6" i="2"/>
  <c r="R6" i="2"/>
  <c r="P7" i="2"/>
  <c r="Q7" i="2"/>
  <c r="R7" i="2"/>
  <c r="P8" i="2"/>
  <c r="Q8" i="2"/>
  <c r="R8" i="2"/>
  <c r="P9" i="2"/>
  <c r="Q9" i="2"/>
  <c r="R9" i="2"/>
  <c r="P10" i="2"/>
  <c r="Q10" i="2"/>
  <c r="R10" i="2"/>
  <c r="P11" i="2"/>
  <c r="Q11" i="2"/>
  <c r="R11" i="2"/>
  <c r="P12" i="2"/>
  <c r="Q12" i="2"/>
  <c r="R12" i="2"/>
  <c r="P13" i="2"/>
  <c r="Q13" i="2"/>
  <c r="R13" i="2"/>
  <c r="P14" i="2"/>
  <c r="Q14" i="2"/>
  <c r="R14" i="2"/>
  <c r="P15" i="2"/>
  <c r="Q15" i="2"/>
  <c r="R15" i="2"/>
  <c r="P16" i="2"/>
  <c r="Q16" i="2"/>
  <c r="R16" i="2"/>
  <c r="P17" i="2"/>
  <c r="Q17" i="2"/>
  <c r="R17" i="2"/>
  <c r="P18" i="2"/>
  <c r="Q18" i="2"/>
  <c r="R18" i="2"/>
  <c r="P19" i="2"/>
  <c r="Q19" i="2"/>
  <c r="R19" i="2"/>
  <c r="P20" i="2"/>
  <c r="Q20" i="2"/>
  <c r="R20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4" i="2"/>
  <c r="O3" i="2"/>
  <c r="P3" i="2" s="1"/>
  <c r="Q3" i="2" s="1"/>
  <c r="R3" i="2" s="1"/>
  <c r="J3" i="2"/>
  <c r="K3" i="2" s="1"/>
  <c r="L3" i="2" s="1"/>
  <c r="M3" i="2" s="1"/>
  <c r="J4" i="2"/>
  <c r="K4" i="2"/>
  <c r="L4" i="2"/>
  <c r="M4" i="2"/>
  <c r="J5" i="2"/>
  <c r="K5" i="2"/>
  <c r="L5" i="2"/>
  <c r="M5" i="2"/>
  <c r="J6" i="2"/>
  <c r="K6" i="2"/>
  <c r="L6" i="2"/>
  <c r="M6" i="2"/>
  <c r="J7" i="2"/>
  <c r="K7" i="2"/>
  <c r="L7" i="2"/>
  <c r="M7" i="2"/>
  <c r="J8" i="2"/>
  <c r="K8" i="2"/>
  <c r="L8" i="2"/>
  <c r="M8" i="2"/>
  <c r="J9" i="2"/>
  <c r="K9" i="2"/>
  <c r="L9" i="2"/>
  <c r="M9" i="2"/>
  <c r="J10" i="2"/>
  <c r="K10" i="2"/>
  <c r="L10" i="2"/>
  <c r="M10" i="2"/>
  <c r="J11" i="2"/>
  <c r="K11" i="2"/>
  <c r="L11" i="2"/>
  <c r="M11" i="2"/>
  <c r="J12" i="2"/>
  <c r="K12" i="2"/>
  <c r="L12" i="2"/>
  <c r="M12" i="2"/>
  <c r="J13" i="2"/>
  <c r="K13" i="2"/>
  <c r="L13" i="2"/>
  <c r="M13" i="2"/>
  <c r="J14" i="2"/>
  <c r="K14" i="2"/>
  <c r="L14" i="2"/>
  <c r="M14" i="2"/>
  <c r="J15" i="2"/>
  <c r="K15" i="2"/>
  <c r="L15" i="2"/>
  <c r="M15" i="2"/>
  <c r="J16" i="2"/>
  <c r="K16" i="2"/>
  <c r="L16" i="2"/>
  <c r="M16" i="2"/>
  <c r="J17" i="2"/>
  <c r="K17" i="2"/>
  <c r="L17" i="2"/>
  <c r="M17" i="2"/>
  <c r="J18" i="2"/>
  <c r="K18" i="2"/>
  <c r="L18" i="2"/>
  <c r="M18" i="2"/>
  <c r="J19" i="2"/>
  <c r="K19" i="2"/>
  <c r="L19" i="2"/>
  <c r="M19" i="2"/>
  <c r="J20" i="2"/>
  <c r="K20" i="2"/>
  <c r="L20" i="2"/>
  <c r="M20" i="2"/>
  <c r="I4" i="2"/>
  <c r="E3" i="2"/>
  <c r="F3" i="2" s="1"/>
  <c r="G3" i="2" s="1"/>
  <c r="H3" i="2" s="1"/>
  <c r="I5" i="2"/>
  <c r="S5" i="2" s="1"/>
  <c r="I6" i="2"/>
  <c r="S6" i="2" s="1"/>
  <c r="I7" i="2"/>
  <c r="S7" i="2" s="1"/>
  <c r="I8" i="2"/>
  <c r="S8" i="2" s="1"/>
  <c r="I9" i="2"/>
  <c r="S9" i="2" s="1"/>
  <c r="I10" i="2"/>
  <c r="S10" i="2" s="1"/>
  <c r="I11" i="2"/>
  <c r="S11" i="2" s="1"/>
  <c r="I12" i="2"/>
  <c r="S12" i="2" s="1"/>
  <c r="I13" i="2"/>
  <c r="S13" i="2" s="1"/>
  <c r="I14" i="2"/>
  <c r="S14" i="2" s="1"/>
  <c r="I15" i="2"/>
  <c r="S15" i="2" s="1"/>
  <c r="I16" i="2"/>
  <c r="S16" i="2" s="1"/>
  <c r="I17" i="2"/>
  <c r="S17" i="2" s="1"/>
  <c r="I18" i="2"/>
  <c r="S18" i="2" s="1"/>
  <c r="I19" i="2"/>
  <c r="S19" i="2" s="1"/>
  <c r="I20" i="2"/>
  <c r="S20" i="2" s="1"/>
  <c r="D24" i="2"/>
  <c r="D25" i="2"/>
  <c r="D22" i="2"/>
  <c r="D23" i="2"/>
  <c r="C25" i="2"/>
  <c r="C24" i="2"/>
  <c r="C23" i="2"/>
  <c r="C22" i="2"/>
  <c r="N6" i="3" l="1"/>
  <c r="N9" i="3"/>
  <c r="N7" i="3"/>
  <c r="N10" i="3"/>
  <c r="N12" i="3"/>
  <c r="N14" i="3"/>
  <c r="J22" i="3"/>
  <c r="J23" i="3"/>
  <c r="J24" i="3"/>
  <c r="K22" i="3"/>
  <c r="K23" i="3"/>
  <c r="K24" i="3"/>
  <c r="L24" i="3"/>
  <c r="L23" i="3"/>
  <c r="L22" i="3"/>
</calcChain>
</file>

<file path=xl/sharedStrings.xml><?xml version="1.0" encoding="utf-8"?>
<sst xmlns="http://schemas.openxmlformats.org/spreadsheetml/2006/main" count="98" uniqueCount="55">
  <si>
    <t>Employee payroll</t>
  </si>
  <si>
    <t>Last name</t>
  </si>
  <si>
    <t>First name</t>
  </si>
  <si>
    <t>Hourly wage</t>
  </si>
  <si>
    <t xml:space="preserve">John </t>
  </si>
  <si>
    <t>Doe</t>
  </si>
  <si>
    <t>Young</t>
  </si>
  <si>
    <t>Olivia</t>
  </si>
  <si>
    <t>Plath</t>
  </si>
  <si>
    <t>Silviya</t>
  </si>
  <si>
    <t>Frost</t>
  </si>
  <si>
    <t>robert</t>
  </si>
  <si>
    <t>William</t>
  </si>
  <si>
    <t>Shakespear</t>
  </si>
  <si>
    <t>Chris</t>
  </si>
  <si>
    <t>Hemsworth</t>
  </si>
  <si>
    <t>Smith</t>
  </si>
  <si>
    <t>Paul</t>
  </si>
  <si>
    <t>Mann</t>
  </si>
  <si>
    <t>Trent</t>
  </si>
  <si>
    <t>Tyrion</t>
  </si>
  <si>
    <t>Lannister</t>
  </si>
  <si>
    <t>Aarya</t>
  </si>
  <si>
    <t>Stark</t>
  </si>
  <si>
    <t>Jammy</t>
  </si>
  <si>
    <t>Peter</t>
  </si>
  <si>
    <t>Bellish</t>
  </si>
  <si>
    <t>Bill</t>
  </si>
  <si>
    <t>Norman</t>
  </si>
  <si>
    <t>Sansa</t>
  </si>
  <si>
    <t>Snow</t>
  </si>
  <si>
    <t>Hollnad</t>
  </si>
  <si>
    <t>Tom</t>
  </si>
  <si>
    <t>Tendulkar</t>
  </si>
  <si>
    <t>Sachin</t>
  </si>
  <si>
    <t xml:space="preserve">Hours worked </t>
  </si>
  <si>
    <t>Pay</t>
  </si>
  <si>
    <t>MAX</t>
  </si>
  <si>
    <t>MIN</t>
  </si>
  <si>
    <t>TOTAL</t>
  </si>
  <si>
    <t>AVERAGE</t>
  </si>
  <si>
    <t>Overtime hours</t>
  </si>
  <si>
    <t>Overtime Bonus</t>
  </si>
  <si>
    <t>Total Pay</t>
  </si>
  <si>
    <t>Jan Pay</t>
  </si>
  <si>
    <t>Gradebook</t>
  </si>
  <si>
    <t>Saftey Test</t>
  </si>
  <si>
    <t>Company philosophy test</t>
  </si>
  <si>
    <t>Financial Skills test</t>
  </si>
  <si>
    <t>Drug Test</t>
  </si>
  <si>
    <t>Maximum points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</si>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</sst>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" fontId="1" fillId="2" borderId="0" xfId="0" applyNumberFormat="1" applyFont="1" applyFill="1"/>
    <xf numFmtId="0" fontId="0" fillId="2" borderId="0" xfId="0" applyFill="1"/>
    <xf numFmtId="16" fontId="1" fillId="3" borderId="0" xfId="0" applyNumberFormat="1" applyFont="1" applyFill="1"/>
    <xf numFmtId="0" fontId="0" fillId="3" borderId="0" xfId="0" applyFill="1"/>
    <xf numFmtId="16" fontId="1" fillId="4" borderId="0" xfId="0" applyNumberFormat="1" applyFont="1" applyFill="1"/>
    <xf numFmtId="164" fontId="0" fillId="4" borderId="0" xfId="0" applyNumberFormat="1" applyFill="1"/>
    <xf numFmtId="16" fontId="1" fillId="5" borderId="0" xfId="0" applyNumberFormat="1" applyFont="1" applyFill="1"/>
    <xf numFmtId="164" fontId="0" fillId="5" borderId="0" xfId="0" applyNumberFormat="1" applyFill="1"/>
    <xf numFmtId="16" fontId="1" fillId="6" borderId="0" xfId="0" applyNumberFormat="1" applyFont="1" applyFill="1"/>
    <xf numFmtId="17" fontId="1" fillId="6" borderId="0" xfId="0" applyNumberFormat="1" applyFont="1" applyFill="1"/>
    <xf numFmtId="164" fontId="0" fillId="6" borderId="0" xfId="0" applyNumberFormat="1" applyFill="1"/>
    <xf numFmtId="164" fontId="1" fillId="0" borderId="0" xfId="0" applyNumberFormat="1" applyFont="1"/>
    <xf numFmtId="9" fontId="0" fillId="0" borderId="0" xfId="1" applyFont="1"/>
    <xf numFmtId="0" fontId="1" fillId="0" borderId="0" xfId="0" applyFont="1" applyAlignment="1">
      <alignment textRotation="90" wrapText="1"/>
    </xf>
    <xf numFmtId="9" fontId="1" fillId="0" borderId="0" xfId="1" applyFont="1" applyAlignment="1">
      <alignment textRotation="90" wrapText="1"/>
    </xf>
  </cellXfs>
  <cellStyles count="2">
    <cellStyle name="Normal" xfId="0" builtinId="0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Saftey Test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Gradebook!$A$4:$A$20</c:f>
              <c:strCache>
                <c:ptCount val="17"/>
                <c:pt idx="0">
                  <c:v>Doe</c:v>
                </c:pt>
                <c:pt idx="1">
                  <c:v>Young</c:v>
                </c:pt>
                <c:pt idx="2">
                  <c:v>Plath</c:v>
                </c:pt>
                <c:pt idx="3">
                  <c:v>Frost</c:v>
                </c:pt>
                <c:pt idx="4">
                  <c:v>Shakespear</c:v>
                </c:pt>
                <c:pt idx="5">
                  <c:v>Hemsworth</c:v>
                </c:pt>
                <c:pt idx="6">
                  <c:v>Smith</c:v>
                </c:pt>
                <c:pt idx="7">
                  <c:v>Mann</c:v>
                </c:pt>
                <c:pt idx="8">
                  <c:v>Lannister</c:v>
                </c:pt>
                <c:pt idx="9">
                  <c:v>Stark</c:v>
                </c:pt>
                <c:pt idx="10">
                  <c:v>Lannister</c:v>
                </c:pt>
                <c:pt idx="11">
                  <c:v>Bellish</c:v>
                </c:pt>
                <c:pt idx="12">
                  <c:v>Norman</c:v>
                </c:pt>
                <c:pt idx="13">
                  <c:v>Stark</c:v>
                </c:pt>
                <c:pt idx="14">
                  <c:v>Snow</c:v>
                </c:pt>
                <c:pt idx="15">
                  <c:v>Hollnad</c:v>
                </c:pt>
                <c:pt idx="16">
                  <c:v>Tendulkar</c:v>
                </c:pt>
              </c:strCache>
            </c:strRef>
          </c:cat>
          <c:val>
            <c:numRef>
              <c:f>Gradebook!$D$4:$D$20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6-46C3-BDB7-20ACBDA64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315072"/>
        <c:axId val="759316992"/>
      </c:barChart>
      <c:catAx>
        <c:axId val="75931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16992"/>
        <c:crosses val="autoZero"/>
        <c:auto val="1"/>
        <c:lblAlgn val="ctr"/>
        <c:lblOffset val="100"/>
        <c:noMultiLvlLbl val="0"/>
      </c:catAx>
      <c:valAx>
        <c:axId val="7593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31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Company</a:t>
            </a:r>
            <a:r>
              <a:rPr lang="en-US" baseline="0"/>
              <a:t> philosophy test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Gradebook!$A$4:$A$20</c:f>
              <c:strCache>
                <c:ptCount val="17"/>
                <c:pt idx="0">
                  <c:v>Doe</c:v>
                </c:pt>
                <c:pt idx="1">
                  <c:v>Young</c:v>
                </c:pt>
                <c:pt idx="2">
                  <c:v>Plath</c:v>
                </c:pt>
                <c:pt idx="3">
                  <c:v>Frost</c:v>
                </c:pt>
                <c:pt idx="4">
                  <c:v>Shakespear</c:v>
                </c:pt>
                <c:pt idx="5">
                  <c:v>Hemsworth</c:v>
                </c:pt>
                <c:pt idx="6">
                  <c:v>Smith</c:v>
                </c:pt>
                <c:pt idx="7">
                  <c:v>Mann</c:v>
                </c:pt>
                <c:pt idx="8">
                  <c:v>Lannister</c:v>
                </c:pt>
                <c:pt idx="9">
                  <c:v>Stark</c:v>
                </c:pt>
                <c:pt idx="10">
                  <c:v>Lannister</c:v>
                </c:pt>
                <c:pt idx="11">
                  <c:v>Bellish</c:v>
                </c:pt>
                <c:pt idx="12">
                  <c:v>Norman</c:v>
                </c:pt>
                <c:pt idx="13">
                  <c:v>Stark</c:v>
                </c:pt>
                <c:pt idx="14">
                  <c:v>Snow</c:v>
                </c:pt>
                <c:pt idx="15">
                  <c:v>Hollnad</c:v>
                </c:pt>
                <c:pt idx="16">
                  <c:v>Tendulkar</c:v>
                </c:pt>
              </c:strCache>
            </c:strRef>
          </c:cat>
          <c:val>
            <c:numRef>
              <c:f>Gradebook!$E$4:$E$20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2-4D41-A83D-13B1F2A16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109296"/>
        <c:axId val="1053109776"/>
      </c:barChart>
      <c:catAx>
        <c:axId val="105310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09776"/>
        <c:crosses val="autoZero"/>
        <c:auto val="1"/>
        <c:lblAlgn val="ctr"/>
        <c:lblOffset val="100"/>
        <c:noMultiLvlLbl val="0"/>
      </c:catAx>
      <c:valAx>
        <c:axId val="105310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0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Gradebook!$A$4:$A$20</c:f>
              <c:strCache>
                <c:ptCount val="17"/>
                <c:pt idx="0">
                  <c:v>Doe</c:v>
                </c:pt>
                <c:pt idx="1">
                  <c:v>Young</c:v>
                </c:pt>
                <c:pt idx="2">
                  <c:v>Plath</c:v>
                </c:pt>
                <c:pt idx="3">
                  <c:v>Frost</c:v>
                </c:pt>
                <c:pt idx="4">
                  <c:v>Shakespear</c:v>
                </c:pt>
                <c:pt idx="5">
                  <c:v>Hemsworth</c:v>
                </c:pt>
                <c:pt idx="6">
                  <c:v>Smith</c:v>
                </c:pt>
                <c:pt idx="7">
                  <c:v>Mann</c:v>
                </c:pt>
                <c:pt idx="8">
                  <c:v>Lannister</c:v>
                </c:pt>
                <c:pt idx="9">
                  <c:v>Stark</c:v>
                </c:pt>
                <c:pt idx="10">
                  <c:v>Lannister</c:v>
                </c:pt>
                <c:pt idx="11">
                  <c:v>Bellish</c:v>
                </c:pt>
                <c:pt idx="12">
                  <c:v>Norman</c:v>
                </c:pt>
                <c:pt idx="13">
                  <c:v>Stark</c:v>
                </c:pt>
                <c:pt idx="14">
                  <c:v>Snow</c:v>
                </c:pt>
                <c:pt idx="15">
                  <c:v>Hollnad</c:v>
                </c:pt>
                <c:pt idx="16">
                  <c:v>Tendulkar</c:v>
                </c:pt>
              </c:strCache>
            </c:strRef>
          </c:cat>
          <c:val>
            <c:numRef>
              <c:f>Gradebook!$F$4:$F$24</c:f>
              <c:numCache>
                <c:formatCode>General</c:formatCode>
                <c:ptCount val="21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  <c:pt idx="18">
                  <c:v>100</c:v>
                </c:pt>
                <c:pt idx="19">
                  <c:v>45</c:v>
                </c:pt>
                <c:pt idx="20">
                  <c:v>81.647058823529406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D-4542-958D-DFDEDD8D2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219360"/>
        <c:axId val="898217920"/>
      </c:barChart>
      <c:catAx>
        <c:axId val="89821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17920"/>
        <c:crosses val="autoZero"/>
        <c:auto val="1"/>
        <c:lblAlgn val="ctr"/>
        <c:lblOffset val="100"/>
        <c:noMultiLvlLbl val="0"/>
      </c:catAx>
      <c:valAx>
        <c:axId val="8982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21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392430</xdr:colOff>
      <xdr:row>2</xdr:row>
      <xdr:rowOff>179070</xdr:rowOff>
    </xdr:from>
    <xdr:to>
      <xdr:col>22</xdr:col>
      <xdr:colOff>270510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7E43B-D254-8F67-66AF-5FB6C8501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369570</xdr:colOff>
      <xdr:row>18</xdr:row>
      <xdr:rowOff>156210</xdr:rowOff>
    </xdr:from>
    <xdr:to>
      <xdr:col>22</xdr:col>
      <xdr:colOff>247650</xdr:colOff>
      <xdr:row>34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FC3454-E1DC-5435-ED10-D54F44023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267440</xdr:colOff>
      <xdr:row>31</xdr:row>
      <xdr:rowOff>3923</xdr:rowOff>
    </xdr:from>
    <xdr:to>
      <xdr:col>14</xdr:col>
      <xdr:colOff>574742</xdr:colOff>
      <xdr:row>46</xdr:row>
      <xdr:rowOff>118223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8044AF-A695-1918-3E86-6518F0636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48A2-F24F-4E11-9AF6-0431174A6F4E}">
  <dimension ref="A1:AD34"/>
  <sheetViews>
    <sheetView zoomScale="75" zoomScaleNormal="75" workbookViewId="0">
      <selection activeCell="I4" sqref="I4"/>
    </sheetView>
  </sheetViews>
  <sheetFormatPr defaultRowHeight="14.4" x14ac:dyDescent="0.3"/>
  <cols>
    <col min="1" max="1" width="16.88671875" bestFit="1" customWidth="1"/>
    <col min="2" max="2" width="10.5546875" bestFit="1" customWidth="1"/>
    <col min="3" max="3" width="12" bestFit="1" customWidth="1"/>
    <col min="4" max="4" width="14" bestFit="1" customWidth="1"/>
    <col min="5" max="5" width="9.109375" bestFit="1" customWidth="1"/>
    <col min="6" max="6" width="7" bestFit="1" customWidth="1"/>
    <col min="7" max="7" width="9.109375" bestFit="1" customWidth="1"/>
    <col min="8" max="8" width="7" bestFit="1" customWidth="1"/>
    <col min="9" max="9" width="15.44140625" bestFit="1" customWidth="1"/>
    <col min="10" max="10" width="7" bestFit="1" customWidth="1"/>
    <col min="11" max="11" width="8" bestFit="1" customWidth="1"/>
    <col min="12" max="12" width="7" bestFit="1" customWidth="1"/>
    <col min="13" max="13" width="8" bestFit="1" customWidth="1"/>
    <col min="14" max="14" width="10.88671875" bestFit="1" customWidth="1"/>
    <col min="15" max="15" width="12" bestFit="1" customWidth="1"/>
    <col min="16" max="16" width="10.88671875" bestFit="1" customWidth="1"/>
    <col min="17" max="17" width="12" bestFit="1" customWidth="1"/>
    <col min="18" max="18" width="10.88671875" bestFit="1" customWidth="1"/>
    <col min="19" max="19" width="15.6640625" bestFit="1" customWidth="1"/>
    <col min="20" max="21" width="9.109375" bestFit="1" customWidth="1"/>
    <col min="22" max="22" width="8" bestFit="1" customWidth="1"/>
    <col min="23" max="23" width="9.109375" bestFit="1" customWidth="1"/>
    <col min="24" max="24" width="10.88671875" bestFit="1" customWidth="1"/>
    <col min="25" max="25" width="12" bestFit="1" customWidth="1"/>
    <col min="26" max="26" width="10.88671875" bestFit="1" customWidth="1"/>
    <col min="27" max="27" width="12" bestFit="1" customWidth="1"/>
    <col min="28" max="28" width="10.88671875" bestFit="1" customWidth="1"/>
    <col min="30" max="30" width="10.88671875" bestFit="1" customWidth="1"/>
  </cols>
  <sheetData>
    <row r="1" spans="1:30" x14ac:dyDescent="0.3">
      <c r="A1" s="2" t="s">
        <v>0</v>
      </c>
    </row>
    <row r="2" spans="1:30" x14ac:dyDescent="0.3">
      <c r="A2" s="2"/>
      <c r="B2" s="2"/>
      <c r="C2" s="2"/>
      <c r="D2" s="2" t="s">
        <v>35</v>
      </c>
      <c r="E2" s="2"/>
      <c r="F2" s="2"/>
      <c r="G2" s="2"/>
      <c r="H2" s="2"/>
      <c r="I2" s="2" t="s">
        <v>41</v>
      </c>
      <c r="J2" s="2"/>
      <c r="K2" s="2"/>
      <c r="L2" s="2"/>
      <c r="M2" s="2"/>
      <c r="N2" s="2" t="s">
        <v>36</v>
      </c>
      <c r="O2" s="2"/>
      <c r="P2" s="2"/>
      <c r="Q2" s="2"/>
      <c r="R2" s="2"/>
      <c r="S2" s="2" t="s">
        <v>42</v>
      </c>
      <c r="T2" s="2"/>
      <c r="X2" s="2" t="s">
        <v>43</v>
      </c>
      <c r="AD2" s="2" t="s">
        <v>44</v>
      </c>
    </row>
    <row r="3" spans="1:30" x14ac:dyDescent="0.3">
      <c r="A3" s="2" t="s">
        <v>1</v>
      </c>
      <c r="B3" s="2" t="s">
        <v>2</v>
      </c>
      <c r="C3" s="2" t="s">
        <v>3</v>
      </c>
      <c r="D3" s="4">
        <v>46023</v>
      </c>
      <c r="E3" s="4">
        <f>D3+7</f>
        <v>46030</v>
      </c>
      <c r="F3" s="4">
        <f>E3+7</f>
        <v>46037</v>
      </c>
      <c r="G3" s="4">
        <f>F3+7</f>
        <v>46044</v>
      </c>
      <c r="H3" s="4">
        <f>G3+7</f>
        <v>46051</v>
      </c>
      <c r="I3" s="6">
        <v>46023</v>
      </c>
      <c r="J3" s="6">
        <f>I3+7</f>
        <v>46030</v>
      </c>
      <c r="K3" s="6">
        <f t="shared" ref="K3:M3" si="0">J3+7</f>
        <v>46037</v>
      </c>
      <c r="L3" s="6">
        <f t="shared" si="0"/>
        <v>46044</v>
      </c>
      <c r="M3" s="6">
        <f t="shared" si="0"/>
        <v>46051</v>
      </c>
      <c r="N3" s="8">
        <v>46023</v>
      </c>
      <c r="O3" s="8">
        <f>N3+7</f>
        <v>46030</v>
      </c>
      <c r="P3" s="8">
        <f t="shared" ref="P3:R3" si="1">O3+7</f>
        <v>46037</v>
      </c>
      <c r="Q3" s="8">
        <f t="shared" si="1"/>
        <v>46044</v>
      </c>
      <c r="R3" s="8">
        <f t="shared" si="1"/>
        <v>46051</v>
      </c>
      <c r="S3" s="10">
        <v>46023</v>
      </c>
      <c r="T3" s="10">
        <f>S3+7</f>
        <v>46030</v>
      </c>
      <c r="U3" s="10">
        <f t="shared" ref="U3:W3" si="2">T3+7</f>
        <v>46037</v>
      </c>
      <c r="V3" s="10">
        <f t="shared" si="2"/>
        <v>46044</v>
      </c>
      <c r="W3" s="10">
        <f t="shared" si="2"/>
        <v>46051</v>
      </c>
      <c r="X3" s="12">
        <v>46023</v>
      </c>
      <c r="Y3" s="13">
        <f>X3+7</f>
        <v>46030</v>
      </c>
      <c r="Z3" s="13">
        <f t="shared" ref="Z3:AA3" si="3">Y3+7</f>
        <v>46037</v>
      </c>
      <c r="AA3" s="13">
        <f t="shared" si="3"/>
        <v>46044</v>
      </c>
      <c r="AB3" s="13">
        <f>AA3+7</f>
        <v>46051</v>
      </c>
      <c r="AD3" s="15"/>
    </row>
    <row r="4" spans="1:30" x14ac:dyDescent="0.3">
      <c r="A4" t="s">
        <v>5</v>
      </c>
      <c r="B4" t="s">
        <v>4</v>
      </c>
      <c r="C4" s="1">
        <v>15.9</v>
      </c>
      <c r="D4" s="5">
        <v>41</v>
      </c>
      <c r="E4" s="5">
        <v>42</v>
      </c>
      <c r="F4" s="5">
        <v>39</v>
      </c>
      <c r="G4" s="5">
        <v>30</v>
      </c>
      <c r="H4" s="5">
        <v>46</v>
      </c>
      <c r="I4" s="7">
        <f>IF(D4&gt;40,D4-40,0)</f>
        <v>1</v>
      </c>
      <c r="J4" s="7">
        <f t="shared" ref="J4:M4" si="4">IF(E4&gt;40,E4-40,0)</f>
        <v>2</v>
      </c>
      <c r="K4" s="7">
        <f t="shared" si="4"/>
        <v>0</v>
      </c>
      <c r="L4" s="7">
        <f t="shared" si="4"/>
        <v>0</v>
      </c>
      <c r="M4" s="7">
        <f t="shared" si="4"/>
        <v>6</v>
      </c>
      <c r="N4" s="9">
        <f>D4*$C4</f>
        <v>651.9</v>
      </c>
      <c r="O4" s="9">
        <f>E4*$C4</f>
        <v>667.80000000000007</v>
      </c>
      <c r="P4" s="9">
        <f t="shared" ref="P4:R19" si="5">F4*$C4</f>
        <v>620.1</v>
      </c>
      <c r="Q4" s="9">
        <f t="shared" si="5"/>
        <v>477</v>
      </c>
      <c r="R4" s="9">
        <f t="shared" si="5"/>
        <v>731.4</v>
      </c>
      <c r="S4" s="11">
        <f>0.5*I4*$C4</f>
        <v>7.95</v>
      </c>
      <c r="T4" s="11">
        <f t="shared" ref="T4:V4" si="6">0.5*J4*$C4</f>
        <v>15.9</v>
      </c>
      <c r="U4" s="11">
        <f t="shared" si="6"/>
        <v>0</v>
      </c>
      <c r="V4" s="11">
        <f t="shared" si="6"/>
        <v>0</v>
      </c>
      <c r="W4" s="11">
        <f>0.5*M4*$C4</f>
        <v>47.7</v>
      </c>
      <c r="X4" s="14">
        <f>S4+N4</f>
        <v>659.85</v>
      </c>
      <c r="Y4" s="14">
        <f t="shared" ref="Y4:AB19" si="7">T4+O4</f>
        <v>683.7</v>
      </c>
      <c r="Z4" s="14">
        <f t="shared" si="7"/>
        <v>620.1</v>
      </c>
      <c r="AA4" s="14">
        <f t="shared" si="7"/>
        <v>477</v>
      </c>
      <c r="AB4" s="14">
        <f t="shared" si="7"/>
        <v>779.1</v>
      </c>
      <c r="AD4" s="15">
        <f>SUM(X4:AB4)</f>
        <v>3219.75</v>
      </c>
    </row>
    <row r="5" spans="1:30" x14ac:dyDescent="0.3">
      <c r="A5" t="s">
        <v>6</v>
      </c>
      <c r="B5" t="s">
        <v>7</v>
      </c>
      <c r="C5" s="1">
        <v>10</v>
      </c>
      <c r="D5" s="5">
        <v>42</v>
      </c>
      <c r="E5" s="5">
        <v>41</v>
      </c>
      <c r="F5" s="5">
        <v>40</v>
      </c>
      <c r="G5" s="5">
        <v>38</v>
      </c>
      <c r="H5" s="5">
        <v>44</v>
      </c>
      <c r="I5" s="7">
        <f t="shared" ref="I5:M20" si="8">IF(D5&gt;40,D5-40,0)</f>
        <v>2</v>
      </c>
      <c r="J5" s="7">
        <f t="shared" si="8"/>
        <v>1</v>
      </c>
      <c r="K5" s="7">
        <f t="shared" si="8"/>
        <v>0</v>
      </c>
      <c r="L5" s="7">
        <f t="shared" si="8"/>
        <v>0</v>
      </c>
      <c r="M5" s="7">
        <f t="shared" si="8"/>
        <v>4</v>
      </c>
      <c r="N5" s="9">
        <f t="shared" ref="N5:O20" si="9">D5*$C5</f>
        <v>420</v>
      </c>
      <c r="O5" s="9">
        <f t="shared" si="9"/>
        <v>410</v>
      </c>
      <c r="P5" s="9">
        <f t="shared" si="5"/>
        <v>400</v>
      </c>
      <c r="Q5" s="9">
        <f t="shared" si="5"/>
        <v>380</v>
      </c>
      <c r="R5" s="9">
        <f t="shared" si="5"/>
        <v>440</v>
      </c>
      <c r="S5" s="11">
        <f t="shared" ref="S5:S20" si="10">0.5*I5*C5</f>
        <v>10</v>
      </c>
      <c r="T5" s="11">
        <f t="shared" ref="T5:T20" si="11">0.5*J5*D5</f>
        <v>21</v>
      </c>
      <c r="U5" s="11">
        <f t="shared" ref="U5:U20" si="12">0.5*K5*E5</f>
        <v>0</v>
      </c>
      <c r="V5" s="11">
        <f t="shared" ref="V5:V20" si="13">0.5*L5*F5</f>
        <v>0</v>
      </c>
      <c r="W5" s="11">
        <f t="shared" ref="W5:W20" si="14">0.5*M5*G5</f>
        <v>76</v>
      </c>
      <c r="X5" s="14">
        <f t="shared" ref="X5:X20" si="15">S5+N5</f>
        <v>430</v>
      </c>
      <c r="Y5" s="14">
        <f t="shared" si="7"/>
        <v>431</v>
      </c>
      <c r="Z5" s="14">
        <f t="shared" si="7"/>
        <v>400</v>
      </c>
      <c r="AA5" s="14">
        <f t="shared" si="7"/>
        <v>380</v>
      </c>
      <c r="AB5" s="14">
        <f t="shared" si="7"/>
        <v>516</v>
      </c>
      <c r="AD5" s="15">
        <f t="shared" ref="AD5:AD20" si="16">SUM(X5:AB5)</f>
        <v>2157</v>
      </c>
    </row>
    <row r="6" spans="1:30" x14ac:dyDescent="0.3">
      <c r="A6" t="s">
        <v>8</v>
      </c>
      <c r="B6" t="s">
        <v>9</v>
      </c>
      <c r="C6" s="1">
        <v>22.1</v>
      </c>
      <c r="D6" s="5">
        <v>49</v>
      </c>
      <c r="E6" s="5">
        <v>40</v>
      </c>
      <c r="F6" s="5">
        <v>33</v>
      </c>
      <c r="G6" s="5">
        <v>20</v>
      </c>
      <c r="H6" s="5">
        <v>18</v>
      </c>
      <c r="I6" s="7">
        <f t="shared" si="8"/>
        <v>9</v>
      </c>
      <c r="J6" s="7">
        <f t="shared" si="8"/>
        <v>0</v>
      </c>
      <c r="K6" s="7">
        <f t="shared" si="8"/>
        <v>0</v>
      </c>
      <c r="L6" s="7">
        <f t="shared" si="8"/>
        <v>0</v>
      </c>
      <c r="M6" s="7">
        <f t="shared" si="8"/>
        <v>0</v>
      </c>
      <c r="N6" s="9">
        <f t="shared" si="9"/>
        <v>1082.9000000000001</v>
      </c>
      <c r="O6" s="9">
        <f t="shared" si="9"/>
        <v>884</v>
      </c>
      <c r="P6" s="9">
        <f t="shared" si="5"/>
        <v>729.30000000000007</v>
      </c>
      <c r="Q6" s="9">
        <f t="shared" si="5"/>
        <v>442</v>
      </c>
      <c r="R6" s="9">
        <f t="shared" si="5"/>
        <v>397.8</v>
      </c>
      <c r="S6" s="11">
        <f t="shared" si="10"/>
        <v>99.45</v>
      </c>
      <c r="T6" s="11">
        <f t="shared" si="11"/>
        <v>0</v>
      </c>
      <c r="U6" s="11">
        <f t="shared" si="12"/>
        <v>0</v>
      </c>
      <c r="V6" s="11">
        <f t="shared" si="13"/>
        <v>0</v>
      </c>
      <c r="W6" s="11">
        <f t="shared" si="14"/>
        <v>0</v>
      </c>
      <c r="X6" s="14">
        <f t="shared" si="15"/>
        <v>1182.3500000000001</v>
      </c>
      <c r="Y6" s="14">
        <f t="shared" si="7"/>
        <v>884</v>
      </c>
      <c r="Z6" s="14">
        <f t="shared" si="7"/>
        <v>729.30000000000007</v>
      </c>
      <c r="AA6" s="14">
        <f t="shared" si="7"/>
        <v>442</v>
      </c>
      <c r="AB6" s="14">
        <f t="shared" si="7"/>
        <v>397.8</v>
      </c>
      <c r="AD6" s="15">
        <f t="shared" si="16"/>
        <v>3635.4500000000007</v>
      </c>
    </row>
    <row r="7" spans="1:30" x14ac:dyDescent="0.3">
      <c r="A7" t="s">
        <v>10</v>
      </c>
      <c r="B7" t="s">
        <v>11</v>
      </c>
      <c r="C7" s="1">
        <v>19.100000000000001</v>
      </c>
      <c r="D7" s="5">
        <v>41</v>
      </c>
      <c r="E7" s="5">
        <v>50</v>
      </c>
      <c r="F7" s="5">
        <v>47</v>
      </c>
      <c r="G7" s="5">
        <v>30</v>
      </c>
      <c r="H7" s="5">
        <v>39</v>
      </c>
      <c r="I7" s="7">
        <f t="shared" si="8"/>
        <v>1</v>
      </c>
      <c r="J7" s="7">
        <f t="shared" si="8"/>
        <v>10</v>
      </c>
      <c r="K7" s="7">
        <f t="shared" si="8"/>
        <v>7</v>
      </c>
      <c r="L7" s="7">
        <f t="shared" si="8"/>
        <v>0</v>
      </c>
      <c r="M7" s="7">
        <f t="shared" si="8"/>
        <v>0</v>
      </c>
      <c r="N7" s="9">
        <f t="shared" si="9"/>
        <v>783.1</v>
      </c>
      <c r="O7" s="9">
        <f t="shared" si="9"/>
        <v>955.00000000000011</v>
      </c>
      <c r="P7" s="9">
        <f t="shared" si="5"/>
        <v>897.7</v>
      </c>
      <c r="Q7" s="9">
        <f t="shared" si="5"/>
        <v>573</v>
      </c>
      <c r="R7" s="9">
        <f t="shared" si="5"/>
        <v>744.90000000000009</v>
      </c>
      <c r="S7" s="11">
        <f t="shared" si="10"/>
        <v>9.5500000000000007</v>
      </c>
      <c r="T7" s="11">
        <f t="shared" si="11"/>
        <v>205</v>
      </c>
      <c r="U7" s="11">
        <f t="shared" si="12"/>
        <v>175</v>
      </c>
      <c r="V7" s="11">
        <f t="shared" si="13"/>
        <v>0</v>
      </c>
      <c r="W7" s="11">
        <f t="shared" si="14"/>
        <v>0</v>
      </c>
      <c r="X7" s="14">
        <f t="shared" si="15"/>
        <v>792.65</v>
      </c>
      <c r="Y7" s="14">
        <f t="shared" si="7"/>
        <v>1160</v>
      </c>
      <c r="Z7" s="14">
        <f t="shared" si="7"/>
        <v>1072.7</v>
      </c>
      <c r="AA7" s="14">
        <f t="shared" si="7"/>
        <v>573</v>
      </c>
      <c r="AB7" s="14">
        <f t="shared" si="7"/>
        <v>744.90000000000009</v>
      </c>
      <c r="AD7" s="15">
        <f t="shared" si="16"/>
        <v>4343.25</v>
      </c>
    </row>
    <row r="8" spans="1:30" x14ac:dyDescent="0.3">
      <c r="A8" t="s">
        <v>13</v>
      </c>
      <c r="B8" t="s">
        <v>12</v>
      </c>
      <c r="C8" s="1">
        <v>6.9</v>
      </c>
      <c r="D8" s="5">
        <v>39</v>
      </c>
      <c r="E8" s="5">
        <v>52</v>
      </c>
      <c r="F8" s="5">
        <v>42</v>
      </c>
      <c r="G8" s="5">
        <v>40</v>
      </c>
      <c r="H8" s="5">
        <v>40</v>
      </c>
      <c r="I8" s="7">
        <f t="shared" si="8"/>
        <v>0</v>
      </c>
      <c r="J8" s="7">
        <f t="shared" si="8"/>
        <v>12</v>
      </c>
      <c r="K8" s="7">
        <f t="shared" si="8"/>
        <v>2</v>
      </c>
      <c r="L8" s="7">
        <f t="shared" si="8"/>
        <v>0</v>
      </c>
      <c r="M8" s="7">
        <f t="shared" si="8"/>
        <v>0</v>
      </c>
      <c r="N8" s="9">
        <f t="shared" si="9"/>
        <v>269.10000000000002</v>
      </c>
      <c r="O8" s="9">
        <f t="shared" si="9"/>
        <v>358.8</v>
      </c>
      <c r="P8" s="9">
        <f t="shared" si="5"/>
        <v>289.8</v>
      </c>
      <c r="Q8" s="9">
        <f t="shared" si="5"/>
        <v>276</v>
      </c>
      <c r="R8" s="9">
        <f t="shared" si="5"/>
        <v>276</v>
      </c>
      <c r="S8" s="11">
        <f t="shared" si="10"/>
        <v>0</v>
      </c>
      <c r="T8" s="11">
        <f t="shared" si="11"/>
        <v>234</v>
      </c>
      <c r="U8" s="11">
        <f t="shared" si="12"/>
        <v>52</v>
      </c>
      <c r="V8" s="11">
        <f t="shared" si="13"/>
        <v>0</v>
      </c>
      <c r="W8" s="11">
        <f t="shared" si="14"/>
        <v>0</v>
      </c>
      <c r="X8" s="14">
        <f t="shared" si="15"/>
        <v>269.10000000000002</v>
      </c>
      <c r="Y8" s="14">
        <f t="shared" si="7"/>
        <v>592.79999999999995</v>
      </c>
      <c r="Z8" s="14">
        <f t="shared" si="7"/>
        <v>341.8</v>
      </c>
      <c r="AA8" s="14">
        <f t="shared" si="7"/>
        <v>276</v>
      </c>
      <c r="AB8" s="14">
        <f t="shared" si="7"/>
        <v>276</v>
      </c>
      <c r="AD8" s="15">
        <f t="shared" si="16"/>
        <v>1755.7</v>
      </c>
    </row>
    <row r="9" spans="1:30" x14ac:dyDescent="0.3">
      <c r="A9" t="s">
        <v>15</v>
      </c>
      <c r="B9" t="s">
        <v>14</v>
      </c>
      <c r="C9" s="1">
        <v>14.2</v>
      </c>
      <c r="D9" s="5">
        <v>44</v>
      </c>
      <c r="E9" s="5">
        <v>51</v>
      </c>
      <c r="F9" s="5">
        <v>42</v>
      </c>
      <c r="G9" s="5">
        <v>40</v>
      </c>
      <c r="H9" s="5">
        <v>20</v>
      </c>
      <c r="I9" s="7">
        <f t="shared" si="8"/>
        <v>4</v>
      </c>
      <c r="J9" s="7">
        <f t="shared" si="8"/>
        <v>11</v>
      </c>
      <c r="K9" s="7">
        <f t="shared" si="8"/>
        <v>2</v>
      </c>
      <c r="L9" s="7">
        <f t="shared" si="8"/>
        <v>0</v>
      </c>
      <c r="M9" s="7">
        <f t="shared" si="8"/>
        <v>0</v>
      </c>
      <c r="N9" s="9">
        <f t="shared" si="9"/>
        <v>624.79999999999995</v>
      </c>
      <c r="O9" s="9">
        <f t="shared" si="9"/>
        <v>724.19999999999993</v>
      </c>
      <c r="P9" s="9">
        <f t="shared" si="5"/>
        <v>596.4</v>
      </c>
      <c r="Q9" s="9">
        <f t="shared" si="5"/>
        <v>568</v>
      </c>
      <c r="R9" s="9">
        <f t="shared" si="5"/>
        <v>284</v>
      </c>
      <c r="S9" s="11">
        <f t="shared" si="10"/>
        <v>28.4</v>
      </c>
      <c r="T9" s="11">
        <f t="shared" si="11"/>
        <v>242</v>
      </c>
      <c r="U9" s="11">
        <f t="shared" si="12"/>
        <v>51</v>
      </c>
      <c r="V9" s="11">
        <f t="shared" si="13"/>
        <v>0</v>
      </c>
      <c r="W9" s="11">
        <f t="shared" si="14"/>
        <v>0</v>
      </c>
      <c r="X9" s="14">
        <f t="shared" si="15"/>
        <v>653.19999999999993</v>
      </c>
      <c r="Y9" s="14">
        <f t="shared" si="7"/>
        <v>966.19999999999993</v>
      </c>
      <c r="Z9" s="14">
        <f t="shared" si="7"/>
        <v>647.4</v>
      </c>
      <c r="AA9" s="14">
        <f t="shared" si="7"/>
        <v>568</v>
      </c>
      <c r="AB9" s="14">
        <f t="shared" si="7"/>
        <v>284</v>
      </c>
      <c r="AD9" s="15">
        <f t="shared" si="16"/>
        <v>3118.7999999999997</v>
      </c>
    </row>
    <row r="10" spans="1:30" x14ac:dyDescent="0.3">
      <c r="A10" t="s">
        <v>16</v>
      </c>
      <c r="B10" t="s">
        <v>17</v>
      </c>
      <c r="C10" s="1">
        <v>18</v>
      </c>
      <c r="D10" s="5">
        <v>55</v>
      </c>
      <c r="E10" s="5">
        <v>60</v>
      </c>
      <c r="F10" s="5">
        <v>45</v>
      </c>
      <c r="G10" s="5">
        <v>40</v>
      </c>
      <c r="H10" s="5">
        <v>49</v>
      </c>
      <c r="I10" s="7">
        <f t="shared" si="8"/>
        <v>15</v>
      </c>
      <c r="J10" s="7">
        <f t="shared" si="8"/>
        <v>20</v>
      </c>
      <c r="K10" s="7">
        <f t="shared" si="8"/>
        <v>5</v>
      </c>
      <c r="L10" s="7">
        <f t="shared" si="8"/>
        <v>0</v>
      </c>
      <c r="M10" s="7">
        <f t="shared" si="8"/>
        <v>9</v>
      </c>
      <c r="N10" s="9">
        <f t="shared" si="9"/>
        <v>990</v>
      </c>
      <c r="O10" s="9">
        <f t="shared" si="9"/>
        <v>1080</v>
      </c>
      <c r="P10" s="9">
        <f t="shared" si="5"/>
        <v>810</v>
      </c>
      <c r="Q10" s="9">
        <f t="shared" si="5"/>
        <v>720</v>
      </c>
      <c r="R10" s="9">
        <f t="shared" si="5"/>
        <v>882</v>
      </c>
      <c r="S10" s="11">
        <f t="shared" si="10"/>
        <v>135</v>
      </c>
      <c r="T10" s="11">
        <f t="shared" si="11"/>
        <v>550</v>
      </c>
      <c r="U10" s="11">
        <f t="shared" si="12"/>
        <v>150</v>
      </c>
      <c r="V10" s="11">
        <f t="shared" si="13"/>
        <v>0</v>
      </c>
      <c r="W10" s="11">
        <f t="shared" si="14"/>
        <v>180</v>
      </c>
      <c r="X10" s="14">
        <f t="shared" si="15"/>
        <v>1125</v>
      </c>
      <c r="Y10" s="14">
        <f t="shared" si="7"/>
        <v>1630</v>
      </c>
      <c r="Z10" s="14">
        <f t="shared" si="7"/>
        <v>960</v>
      </c>
      <c r="AA10" s="14">
        <f t="shared" si="7"/>
        <v>720</v>
      </c>
      <c r="AB10" s="14">
        <f t="shared" si="7"/>
        <v>1062</v>
      </c>
      <c r="AD10" s="15">
        <f t="shared" si="16"/>
        <v>5497</v>
      </c>
    </row>
    <row r="11" spans="1:30" x14ac:dyDescent="0.3">
      <c r="A11" t="s">
        <v>18</v>
      </c>
      <c r="B11" t="s">
        <v>19</v>
      </c>
      <c r="C11" s="1">
        <v>17.5</v>
      </c>
      <c r="D11" s="5">
        <v>33</v>
      </c>
      <c r="E11" s="5">
        <v>22</v>
      </c>
      <c r="F11" s="5">
        <v>54</v>
      </c>
      <c r="G11" s="5">
        <v>40</v>
      </c>
      <c r="H11" s="5">
        <v>20</v>
      </c>
      <c r="I11" s="7">
        <f t="shared" si="8"/>
        <v>0</v>
      </c>
      <c r="J11" s="7">
        <f t="shared" si="8"/>
        <v>0</v>
      </c>
      <c r="K11" s="7">
        <f t="shared" si="8"/>
        <v>14</v>
      </c>
      <c r="L11" s="7">
        <f t="shared" si="8"/>
        <v>0</v>
      </c>
      <c r="M11" s="7">
        <f t="shared" si="8"/>
        <v>0</v>
      </c>
      <c r="N11" s="9">
        <f t="shared" si="9"/>
        <v>577.5</v>
      </c>
      <c r="O11" s="9">
        <f t="shared" si="9"/>
        <v>385</v>
      </c>
      <c r="P11" s="9">
        <f t="shared" si="5"/>
        <v>945</v>
      </c>
      <c r="Q11" s="9">
        <f t="shared" si="5"/>
        <v>700</v>
      </c>
      <c r="R11" s="9">
        <f t="shared" si="5"/>
        <v>350</v>
      </c>
      <c r="S11" s="11">
        <f t="shared" si="10"/>
        <v>0</v>
      </c>
      <c r="T11" s="11">
        <f t="shared" si="11"/>
        <v>0</v>
      </c>
      <c r="U11" s="11">
        <f t="shared" si="12"/>
        <v>154</v>
      </c>
      <c r="V11" s="11">
        <f t="shared" si="13"/>
        <v>0</v>
      </c>
      <c r="W11" s="11">
        <f t="shared" si="14"/>
        <v>0</v>
      </c>
      <c r="X11" s="14">
        <f t="shared" si="15"/>
        <v>577.5</v>
      </c>
      <c r="Y11" s="14">
        <f t="shared" si="7"/>
        <v>385</v>
      </c>
      <c r="Z11" s="14">
        <f t="shared" si="7"/>
        <v>1099</v>
      </c>
      <c r="AA11" s="14">
        <f t="shared" si="7"/>
        <v>700</v>
      </c>
      <c r="AB11" s="14">
        <f t="shared" si="7"/>
        <v>350</v>
      </c>
      <c r="AD11" s="15">
        <f t="shared" si="16"/>
        <v>3111.5</v>
      </c>
    </row>
    <row r="12" spans="1:30" x14ac:dyDescent="0.3">
      <c r="A12" t="s">
        <v>21</v>
      </c>
      <c r="B12" t="s">
        <v>20</v>
      </c>
      <c r="C12" s="1">
        <v>14.7</v>
      </c>
      <c r="D12" s="5">
        <v>29</v>
      </c>
      <c r="E12" s="5">
        <v>40</v>
      </c>
      <c r="F12" s="5">
        <v>42</v>
      </c>
      <c r="G12" s="5">
        <v>40</v>
      </c>
      <c r="H12" s="5">
        <v>40</v>
      </c>
      <c r="I12" s="7">
        <f t="shared" si="8"/>
        <v>0</v>
      </c>
      <c r="J12" s="7">
        <f t="shared" si="8"/>
        <v>0</v>
      </c>
      <c r="K12" s="7">
        <f t="shared" si="8"/>
        <v>2</v>
      </c>
      <c r="L12" s="7">
        <f t="shared" si="8"/>
        <v>0</v>
      </c>
      <c r="M12" s="7">
        <f t="shared" si="8"/>
        <v>0</v>
      </c>
      <c r="N12" s="9">
        <f t="shared" si="9"/>
        <v>426.29999999999995</v>
      </c>
      <c r="O12" s="9">
        <f t="shared" si="9"/>
        <v>588</v>
      </c>
      <c r="P12" s="9">
        <f t="shared" si="5"/>
        <v>617.4</v>
      </c>
      <c r="Q12" s="9">
        <f t="shared" si="5"/>
        <v>588</v>
      </c>
      <c r="R12" s="9">
        <f t="shared" si="5"/>
        <v>588</v>
      </c>
      <c r="S12" s="11">
        <f t="shared" si="10"/>
        <v>0</v>
      </c>
      <c r="T12" s="11">
        <f t="shared" si="11"/>
        <v>0</v>
      </c>
      <c r="U12" s="11">
        <f t="shared" si="12"/>
        <v>40</v>
      </c>
      <c r="V12" s="11">
        <f t="shared" si="13"/>
        <v>0</v>
      </c>
      <c r="W12" s="11">
        <f t="shared" si="14"/>
        <v>0</v>
      </c>
      <c r="X12" s="14">
        <f t="shared" si="15"/>
        <v>426.29999999999995</v>
      </c>
      <c r="Y12" s="14">
        <f t="shared" si="7"/>
        <v>588</v>
      </c>
      <c r="Z12" s="14">
        <f t="shared" si="7"/>
        <v>657.4</v>
      </c>
      <c r="AA12" s="14">
        <f t="shared" si="7"/>
        <v>588</v>
      </c>
      <c r="AB12" s="14">
        <f t="shared" si="7"/>
        <v>588</v>
      </c>
      <c r="AD12" s="15">
        <f t="shared" si="16"/>
        <v>2847.7</v>
      </c>
    </row>
    <row r="13" spans="1:30" x14ac:dyDescent="0.3">
      <c r="A13" t="s">
        <v>23</v>
      </c>
      <c r="B13" t="s">
        <v>22</v>
      </c>
      <c r="C13" s="1">
        <v>13.9</v>
      </c>
      <c r="D13" s="5">
        <v>40</v>
      </c>
      <c r="E13" s="5">
        <v>40</v>
      </c>
      <c r="F13" s="5">
        <v>42</v>
      </c>
      <c r="G13" s="5">
        <v>39</v>
      </c>
      <c r="H13" s="5">
        <v>40</v>
      </c>
      <c r="I13" s="7">
        <f t="shared" si="8"/>
        <v>0</v>
      </c>
      <c r="J13" s="7">
        <f t="shared" si="8"/>
        <v>0</v>
      </c>
      <c r="K13" s="7">
        <f t="shared" si="8"/>
        <v>2</v>
      </c>
      <c r="L13" s="7">
        <f t="shared" si="8"/>
        <v>0</v>
      </c>
      <c r="M13" s="7">
        <f t="shared" si="8"/>
        <v>0</v>
      </c>
      <c r="N13" s="9">
        <f t="shared" si="9"/>
        <v>556</v>
      </c>
      <c r="O13" s="9">
        <f t="shared" si="9"/>
        <v>556</v>
      </c>
      <c r="P13" s="9">
        <f t="shared" si="5"/>
        <v>583.80000000000007</v>
      </c>
      <c r="Q13" s="9">
        <f t="shared" si="5"/>
        <v>542.1</v>
      </c>
      <c r="R13" s="9">
        <f t="shared" si="5"/>
        <v>556</v>
      </c>
      <c r="S13" s="11">
        <f t="shared" si="10"/>
        <v>0</v>
      </c>
      <c r="T13" s="11">
        <f t="shared" si="11"/>
        <v>0</v>
      </c>
      <c r="U13" s="11">
        <f t="shared" si="12"/>
        <v>40</v>
      </c>
      <c r="V13" s="11">
        <f t="shared" si="13"/>
        <v>0</v>
      </c>
      <c r="W13" s="11">
        <f t="shared" si="14"/>
        <v>0</v>
      </c>
      <c r="X13" s="14">
        <f t="shared" si="15"/>
        <v>556</v>
      </c>
      <c r="Y13" s="14">
        <f t="shared" si="7"/>
        <v>556</v>
      </c>
      <c r="Z13" s="14">
        <f t="shared" si="7"/>
        <v>623.80000000000007</v>
      </c>
      <c r="AA13" s="14">
        <f t="shared" si="7"/>
        <v>542.1</v>
      </c>
      <c r="AB13" s="14">
        <f t="shared" si="7"/>
        <v>556</v>
      </c>
      <c r="AD13" s="15">
        <f t="shared" si="16"/>
        <v>2833.9</v>
      </c>
    </row>
    <row r="14" spans="1:30" x14ac:dyDescent="0.3">
      <c r="A14" t="s">
        <v>21</v>
      </c>
      <c r="B14" t="s">
        <v>24</v>
      </c>
      <c r="C14" s="1">
        <v>11.2</v>
      </c>
      <c r="D14" s="5">
        <v>40</v>
      </c>
      <c r="E14" s="5">
        <v>40</v>
      </c>
      <c r="F14" s="5">
        <v>42</v>
      </c>
      <c r="G14" s="5">
        <v>42</v>
      </c>
      <c r="H14" s="5">
        <v>40</v>
      </c>
      <c r="I14" s="7">
        <f t="shared" si="8"/>
        <v>0</v>
      </c>
      <c r="J14" s="7">
        <f t="shared" si="8"/>
        <v>0</v>
      </c>
      <c r="K14" s="7">
        <f t="shared" si="8"/>
        <v>2</v>
      </c>
      <c r="L14" s="7">
        <f t="shared" si="8"/>
        <v>2</v>
      </c>
      <c r="M14" s="7">
        <f t="shared" si="8"/>
        <v>0</v>
      </c>
      <c r="N14" s="9">
        <f t="shared" si="9"/>
        <v>448</v>
      </c>
      <c r="O14" s="9">
        <f t="shared" si="9"/>
        <v>448</v>
      </c>
      <c r="P14" s="9">
        <f t="shared" si="5"/>
        <v>470.4</v>
      </c>
      <c r="Q14" s="9">
        <f t="shared" si="5"/>
        <v>470.4</v>
      </c>
      <c r="R14" s="9">
        <f t="shared" si="5"/>
        <v>448</v>
      </c>
      <c r="S14" s="11">
        <f t="shared" si="10"/>
        <v>0</v>
      </c>
      <c r="T14" s="11">
        <f t="shared" si="11"/>
        <v>0</v>
      </c>
      <c r="U14" s="11">
        <f t="shared" si="12"/>
        <v>40</v>
      </c>
      <c r="V14" s="11">
        <f t="shared" si="13"/>
        <v>42</v>
      </c>
      <c r="W14" s="11">
        <f t="shared" si="14"/>
        <v>0</v>
      </c>
      <c r="X14" s="14">
        <f t="shared" si="15"/>
        <v>448</v>
      </c>
      <c r="Y14" s="14">
        <f t="shared" si="7"/>
        <v>448</v>
      </c>
      <c r="Z14" s="14">
        <f t="shared" si="7"/>
        <v>510.4</v>
      </c>
      <c r="AA14" s="14">
        <f t="shared" si="7"/>
        <v>512.4</v>
      </c>
      <c r="AB14" s="14">
        <f t="shared" si="7"/>
        <v>448</v>
      </c>
      <c r="AD14" s="15">
        <f t="shared" si="16"/>
        <v>2366.8000000000002</v>
      </c>
    </row>
    <row r="15" spans="1:30" x14ac:dyDescent="0.3">
      <c r="A15" t="s">
        <v>26</v>
      </c>
      <c r="B15" t="s">
        <v>25</v>
      </c>
      <c r="C15" s="1">
        <v>10.1</v>
      </c>
      <c r="D15" s="5">
        <v>40</v>
      </c>
      <c r="E15" s="5">
        <v>40</v>
      </c>
      <c r="F15" s="5">
        <v>41</v>
      </c>
      <c r="G15" s="5">
        <v>42</v>
      </c>
      <c r="H15" s="5">
        <v>40</v>
      </c>
      <c r="I15" s="7">
        <f t="shared" si="8"/>
        <v>0</v>
      </c>
      <c r="J15" s="7">
        <f t="shared" si="8"/>
        <v>0</v>
      </c>
      <c r="K15" s="7">
        <f t="shared" si="8"/>
        <v>1</v>
      </c>
      <c r="L15" s="7">
        <f t="shared" si="8"/>
        <v>2</v>
      </c>
      <c r="M15" s="7">
        <f t="shared" si="8"/>
        <v>0</v>
      </c>
      <c r="N15" s="9">
        <f t="shared" si="9"/>
        <v>404</v>
      </c>
      <c r="O15" s="9">
        <f t="shared" si="9"/>
        <v>404</v>
      </c>
      <c r="P15" s="9">
        <f t="shared" si="5"/>
        <v>414.09999999999997</v>
      </c>
      <c r="Q15" s="9">
        <f t="shared" si="5"/>
        <v>424.2</v>
      </c>
      <c r="R15" s="9">
        <f t="shared" si="5"/>
        <v>404</v>
      </c>
      <c r="S15" s="11">
        <f t="shared" si="10"/>
        <v>0</v>
      </c>
      <c r="T15" s="11">
        <f t="shared" si="11"/>
        <v>0</v>
      </c>
      <c r="U15" s="11">
        <f t="shared" si="12"/>
        <v>20</v>
      </c>
      <c r="V15" s="11">
        <f t="shared" si="13"/>
        <v>41</v>
      </c>
      <c r="W15" s="11">
        <f t="shared" si="14"/>
        <v>0</v>
      </c>
      <c r="X15" s="14">
        <f t="shared" si="15"/>
        <v>404</v>
      </c>
      <c r="Y15" s="14">
        <f t="shared" si="7"/>
        <v>404</v>
      </c>
      <c r="Z15" s="14">
        <f t="shared" si="7"/>
        <v>434.09999999999997</v>
      </c>
      <c r="AA15" s="14">
        <f t="shared" si="7"/>
        <v>465.2</v>
      </c>
      <c r="AB15" s="14">
        <f t="shared" si="7"/>
        <v>404</v>
      </c>
      <c r="AD15" s="15">
        <f t="shared" si="16"/>
        <v>2111.3000000000002</v>
      </c>
    </row>
    <row r="16" spans="1:30" x14ac:dyDescent="0.3">
      <c r="A16" t="s">
        <v>28</v>
      </c>
      <c r="B16" t="s">
        <v>27</v>
      </c>
      <c r="C16" s="1">
        <v>9</v>
      </c>
      <c r="D16" s="5">
        <v>42</v>
      </c>
      <c r="E16" s="5">
        <v>42</v>
      </c>
      <c r="F16" s="5">
        <v>39</v>
      </c>
      <c r="G16" s="5">
        <v>41</v>
      </c>
      <c r="H16" s="5">
        <v>40</v>
      </c>
      <c r="I16" s="7">
        <f t="shared" si="8"/>
        <v>2</v>
      </c>
      <c r="J16" s="7">
        <f t="shared" si="8"/>
        <v>2</v>
      </c>
      <c r="K16" s="7">
        <f t="shared" si="8"/>
        <v>0</v>
      </c>
      <c r="L16" s="7">
        <f t="shared" si="8"/>
        <v>1</v>
      </c>
      <c r="M16" s="7">
        <f t="shared" si="8"/>
        <v>0</v>
      </c>
      <c r="N16" s="9">
        <f t="shared" si="9"/>
        <v>378</v>
      </c>
      <c r="O16" s="9">
        <f t="shared" si="9"/>
        <v>378</v>
      </c>
      <c r="P16" s="9">
        <f t="shared" si="5"/>
        <v>351</v>
      </c>
      <c r="Q16" s="9">
        <f t="shared" si="5"/>
        <v>369</v>
      </c>
      <c r="R16" s="9">
        <f t="shared" si="5"/>
        <v>360</v>
      </c>
      <c r="S16" s="11">
        <f t="shared" si="10"/>
        <v>9</v>
      </c>
      <c r="T16" s="11">
        <f t="shared" si="11"/>
        <v>42</v>
      </c>
      <c r="U16" s="11">
        <f t="shared" si="12"/>
        <v>0</v>
      </c>
      <c r="V16" s="11">
        <f t="shared" si="13"/>
        <v>19.5</v>
      </c>
      <c r="W16" s="11">
        <f t="shared" si="14"/>
        <v>0</v>
      </c>
      <c r="X16" s="14">
        <f t="shared" si="15"/>
        <v>387</v>
      </c>
      <c r="Y16" s="14">
        <f t="shared" si="7"/>
        <v>420</v>
      </c>
      <c r="Z16" s="14">
        <f t="shared" si="7"/>
        <v>351</v>
      </c>
      <c r="AA16" s="14">
        <f t="shared" si="7"/>
        <v>388.5</v>
      </c>
      <c r="AB16" s="14">
        <f t="shared" si="7"/>
        <v>360</v>
      </c>
      <c r="AD16" s="15">
        <f t="shared" si="16"/>
        <v>1906.5</v>
      </c>
    </row>
    <row r="17" spans="1:30" x14ac:dyDescent="0.3">
      <c r="A17" t="s">
        <v>23</v>
      </c>
      <c r="B17" t="s">
        <v>29</v>
      </c>
      <c r="C17" s="1">
        <v>8.44</v>
      </c>
      <c r="D17" s="5">
        <v>40</v>
      </c>
      <c r="E17" s="5">
        <v>43</v>
      </c>
      <c r="F17" s="5">
        <v>39</v>
      </c>
      <c r="G17" s="5">
        <v>39</v>
      </c>
      <c r="H17" s="5">
        <v>40</v>
      </c>
      <c r="I17" s="7">
        <f t="shared" si="8"/>
        <v>0</v>
      </c>
      <c r="J17" s="7">
        <f t="shared" si="8"/>
        <v>3</v>
      </c>
      <c r="K17" s="7">
        <f t="shared" si="8"/>
        <v>0</v>
      </c>
      <c r="L17" s="7">
        <f t="shared" si="8"/>
        <v>0</v>
      </c>
      <c r="M17" s="7">
        <f t="shared" si="8"/>
        <v>0</v>
      </c>
      <c r="N17" s="9">
        <f t="shared" si="9"/>
        <v>337.59999999999997</v>
      </c>
      <c r="O17" s="9">
        <f t="shared" si="9"/>
        <v>362.91999999999996</v>
      </c>
      <c r="P17" s="9">
        <f t="shared" si="5"/>
        <v>329.15999999999997</v>
      </c>
      <c r="Q17" s="9">
        <f t="shared" si="5"/>
        <v>329.15999999999997</v>
      </c>
      <c r="R17" s="9">
        <f t="shared" si="5"/>
        <v>337.59999999999997</v>
      </c>
      <c r="S17" s="11">
        <f t="shared" si="10"/>
        <v>0</v>
      </c>
      <c r="T17" s="11">
        <f t="shared" si="11"/>
        <v>60</v>
      </c>
      <c r="U17" s="11">
        <f t="shared" si="12"/>
        <v>0</v>
      </c>
      <c r="V17" s="11">
        <f t="shared" si="13"/>
        <v>0</v>
      </c>
      <c r="W17" s="11">
        <f t="shared" si="14"/>
        <v>0</v>
      </c>
      <c r="X17" s="14">
        <f t="shared" si="15"/>
        <v>337.59999999999997</v>
      </c>
      <c r="Y17" s="14">
        <f t="shared" si="7"/>
        <v>422.91999999999996</v>
      </c>
      <c r="Z17" s="14">
        <f t="shared" si="7"/>
        <v>329.15999999999997</v>
      </c>
      <c r="AA17" s="14">
        <f t="shared" si="7"/>
        <v>329.15999999999997</v>
      </c>
      <c r="AB17" s="14">
        <f t="shared" si="7"/>
        <v>337.59999999999997</v>
      </c>
      <c r="AD17" s="15">
        <f t="shared" si="16"/>
        <v>1756.4399999999996</v>
      </c>
    </row>
    <row r="18" spans="1:30" x14ac:dyDescent="0.3">
      <c r="A18" t="s">
        <v>30</v>
      </c>
      <c r="B18" t="s">
        <v>4</v>
      </c>
      <c r="C18" s="1">
        <v>14.2</v>
      </c>
      <c r="D18" s="5">
        <v>40</v>
      </c>
      <c r="E18" s="5">
        <v>42</v>
      </c>
      <c r="F18" s="5">
        <v>39</v>
      </c>
      <c r="G18" s="5">
        <v>39</v>
      </c>
      <c r="H18" s="5">
        <v>40</v>
      </c>
      <c r="I18" s="7">
        <f t="shared" si="8"/>
        <v>0</v>
      </c>
      <c r="J18" s="7">
        <f t="shared" si="8"/>
        <v>2</v>
      </c>
      <c r="K18" s="7">
        <f t="shared" si="8"/>
        <v>0</v>
      </c>
      <c r="L18" s="7">
        <f t="shared" si="8"/>
        <v>0</v>
      </c>
      <c r="M18" s="7">
        <f t="shared" si="8"/>
        <v>0</v>
      </c>
      <c r="N18" s="9">
        <f t="shared" si="9"/>
        <v>568</v>
      </c>
      <c r="O18" s="9">
        <f t="shared" si="9"/>
        <v>596.4</v>
      </c>
      <c r="P18" s="9">
        <f t="shared" si="5"/>
        <v>553.79999999999995</v>
      </c>
      <c r="Q18" s="9">
        <f t="shared" si="5"/>
        <v>553.79999999999995</v>
      </c>
      <c r="R18" s="9">
        <f t="shared" si="5"/>
        <v>568</v>
      </c>
      <c r="S18" s="11">
        <f t="shared" si="10"/>
        <v>0</v>
      </c>
      <c r="T18" s="11">
        <f t="shared" si="11"/>
        <v>40</v>
      </c>
      <c r="U18" s="11">
        <f t="shared" si="12"/>
        <v>0</v>
      </c>
      <c r="V18" s="11">
        <f t="shared" si="13"/>
        <v>0</v>
      </c>
      <c r="W18" s="11">
        <f t="shared" si="14"/>
        <v>0</v>
      </c>
      <c r="X18" s="14">
        <f t="shared" si="15"/>
        <v>568</v>
      </c>
      <c r="Y18" s="14">
        <f t="shared" si="7"/>
        <v>636.4</v>
      </c>
      <c r="Z18" s="14">
        <f t="shared" si="7"/>
        <v>553.79999999999995</v>
      </c>
      <c r="AA18" s="14">
        <f t="shared" si="7"/>
        <v>553.79999999999995</v>
      </c>
      <c r="AB18" s="14">
        <f t="shared" si="7"/>
        <v>568</v>
      </c>
      <c r="AD18" s="15">
        <f t="shared" si="16"/>
        <v>2880</v>
      </c>
    </row>
    <row r="19" spans="1:30" x14ac:dyDescent="0.3">
      <c r="A19" t="s">
        <v>31</v>
      </c>
      <c r="B19" t="s">
        <v>32</v>
      </c>
      <c r="C19" s="1">
        <v>45</v>
      </c>
      <c r="D19" s="5">
        <v>41</v>
      </c>
      <c r="E19" s="5">
        <v>42</v>
      </c>
      <c r="F19" s="5">
        <v>40</v>
      </c>
      <c r="G19" s="5">
        <v>39</v>
      </c>
      <c r="H19" s="5">
        <v>40</v>
      </c>
      <c r="I19" s="7">
        <f t="shared" si="8"/>
        <v>1</v>
      </c>
      <c r="J19" s="7">
        <f t="shared" si="8"/>
        <v>2</v>
      </c>
      <c r="K19" s="7">
        <f t="shared" si="8"/>
        <v>0</v>
      </c>
      <c r="L19" s="7">
        <f t="shared" si="8"/>
        <v>0</v>
      </c>
      <c r="M19" s="7">
        <f t="shared" si="8"/>
        <v>0</v>
      </c>
      <c r="N19" s="9">
        <f t="shared" si="9"/>
        <v>1845</v>
      </c>
      <c r="O19" s="9">
        <f t="shared" si="9"/>
        <v>1890</v>
      </c>
      <c r="P19" s="9">
        <f t="shared" si="5"/>
        <v>1800</v>
      </c>
      <c r="Q19" s="9">
        <f t="shared" si="5"/>
        <v>1755</v>
      </c>
      <c r="R19" s="9">
        <f t="shared" si="5"/>
        <v>1800</v>
      </c>
      <c r="S19" s="11">
        <f t="shared" si="10"/>
        <v>22.5</v>
      </c>
      <c r="T19" s="11">
        <f t="shared" si="11"/>
        <v>41</v>
      </c>
      <c r="U19" s="11">
        <f t="shared" si="12"/>
        <v>0</v>
      </c>
      <c r="V19" s="11">
        <f t="shared" si="13"/>
        <v>0</v>
      </c>
      <c r="W19" s="11">
        <f t="shared" si="14"/>
        <v>0</v>
      </c>
      <c r="X19" s="14">
        <f t="shared" si="15"/>
        <v>1867.5</v>
      </c>
      <c r="Y19" s="14">
        <f t="shared" si="7"/>
        <v>1931</v>
      </c>
      <c r="Z19" s="14">
        <f t="shared" si="7"/>
        <v>1800</v>
      </c>
      <c r="AA19" s="14">
        <f t="shared" si="7"/>
        <v>1755</v>
      </c>
      <c r="AB19" s="14">
        <f t="shared" si="7"/>
        <v>1800</v>
      </c>
      <c r="AD19" s="15">
        <f t="shared" si="16"/>
        <v>9153.5</v>
      </c>
    </row>
    <row r="20" spans="1:30" x14ac:dyDescent="0.3">
      <c r="A20" t="s">
        <v>33</v>
      </c>
      <c r="B20" t="s">
        <v>34</v>
      </c>
      <c r="C20" s="1">
        <v>30</v>
      </c>
      <c r="D20" s="5">
        <v>39</v>
      </c>
      <c r="E20" s="5">
        <v>80</v>
      </c>
      <c r="F20" s="5">
        <v>40</v>
      </c>
      <c r="G20" s="5">
        <v>40</v>
      </c>
      <c r="H20" s="5">
        <v>40</v>
      </c>
      <c r="I20" s="7">
        <f t="shared" si="8"/>
        <v>0</v>
      </c>
      <c r="J20" s="7">
        <f t="shared" si="8"/>
        <v>40</v>
      </c>
      <c r="K20" s="7">
        <f t="shared" si="8"/>
        <v>0</v>
      </c>
      <c r="L20" s="7">
        <f t="shared" si="8"/>
        <v>0</v>
      </c>
      <c r="M20" s="7">
        <f t="shared" si="8"/>
        <v>0</v>
      </c>
      <c r="N20" s="9">
        <f t="shared" si="9"/>
        <v>1170</v>
      </c>
      <c r="O20" s="9">
        <f t="shared" si="9"/>
        <v>2400</v>
      </c>
      <c r="P20" s="9">
        <f t="shared" ref="P20" si="17">F20*$C20</f>
        <v>1200</v>
      </c>
      <c r="Q20" s="9">
        <f t="shared" ref="Q20" si="18">G20*$C20</f>
        <v>1200</v>
      </c>
      <c r="R20" s="9">
        <f t="shared" ref="R20" si="19">H20*$C20</f>
        <v>1200</v>
      </c>
      <c r="S20" s="11">
        <f t="shared" si="10"/>
        <v>0</v>
      </c>
      <c r="T20" s="11">
        <f t="shared" si="11"/>
        <v>780</v>
      </c>
      <c r="U20" s="11">
        <f t="shared" si="12"/>
        <v>0</v>
      </c>
      <c r="V20" s="11">
        <f t="shared" si="13"/>
        <v>0</v>
      </c>
      <c r="W20" s="11">
        <f t="shared" si="14"/>
        <v>0</v>
      </c>
      <c r="X20" s="14">
        <f t="shared" si="15"/>
        <v>1170</v>
      </c>
      <c r="Y20" s="14">
        <f t="shared" ref="Y20" si="20">T20+O20</f>
        <v>3180</v>
      </c>
      <c r="Z20" s="14">
        <f t="shared" ref="Z20" si="21">U20+P20</f>
        <v>1200</v>
      </c>
      <c r="AA20" s="14">
        <f t="shared" ref="AA20" si="22">V20+Q20</f>
        <v>1200</v>
      </c>
      <c r="AB20" s="14">
        <f>W20+R20</f>
        <v>1200</v>
      </c>
      <c r="AD20" s="15">
        <f t="shared" si="16"/>
        <v>7950</v>
      </c>
    </row>
    <row r="22" spans="1:30" x14ac:dyDescent="0.3">
      <c r="A22" t="s">
        <v>37</v>
      </c>
      <c r="C22" s="1">
        <f>MAX(C4:C20)</f>
        <v>45</v>
      </c>
      <c r="D22" s="3">
        <f>MAX(D4:D20)</f>
        <v>55</v>
      </c>
      <c r="E22" s="1">
        <f t="shared" ref="E22:J22" si="23">MAX(E4:E20)</f>
        <v>80</v>
      </c>
      <c r="F22" s="3">
        <f t="shared" si="23"/>
        <v>54</v>
      </c>
      <c r="G22" s="1">
        <f t="shared" si="23"/>
        <v>42</v>
      </c>
      <c r="H22" s="3">
        <f t="shared" si="23"/>
        <v>49</v>
      </c>
      <c r="I22" s="1">
        <f t="shared" si="23"/>
        <v>15</v>
      </c>
      <c r="J22" s="3">
        <f t="shared" si="23"/>
        <v>40</v>
      </c>
      <c r="K22" s="1">
        <f t="shared" ref="K22:AB22" si="24">MAX(K4:K20)</f>
        <v>14</v>
      </c>
      <c r="L22" s="3">
        <f t="shared" si="24"/>
        <v>2</v>
      </c>
      <c r="M22" s="1">
        <f t="shared" si="24"/>
        <v>9</v>
      </c>
      <c r="N22" s="3">
        <f t="shared" si="24"/>
        <v>1845</v>
      </c>
      <c r="O22" s="1">
        <f t="shared" si="24"/>
        <v>2400</v>
      </c>
      <c r="P22" s="3">
        <f t="shared" si="24"/>
        <v>1800</v>
      </c>
      <c r="Q22" s="1">
        <f t="shared" si="24"/>
        <v>1755</v>
      </c>
      <c r="R22" s="3">
        <f t="shared" si="24"/>
        <v>1800</v>
      </c>
      <c r="S22" s="1">
        <f t="shared" si="24"/>
        <v>135</v>
      </c>
      <c r="T22" s="3">
        <f t="shared" si="24"/>
        <v>780</v>
      </c>
      <c r="U22" s="1">
        <f t="shared" si="24"/>
        <v>175</v>
      </c>
      <c r="V22" s="3">
        <f t="shared" si="24"/>
        <v>42</v>
      </c>
      <c r="W22" s="1">
        <f t="shared" si="24"/>
        <v>180</v>
      </c>
      <c r="X22" s="3">
        <f t="shared" si="24"/>
        <v>1867.5</v>
      </c>
      <c r="Y22" s="1">
        <f t="shared" si="24"/>
        <v>3180</v>
      </c>
      <c r="Z22" s="3">
        <f t="shared" si="24"/>
        <v>1800</v>
      </c>
      <c r="AA22" s="1">
        <f t="shared" si="24"/>
        <v>1755</v>
      </c>
      <c r="AB22" s="3">
        <f t="shared" si="24"/>
        <v>1800</v>
      </c>
      <c r="AD22" s="3">
        <f t="shared" ref="AD22" si="25">MAX(AD4:AD20)</f>
        <v>9153.5</v>
      </c>
    </row>
    <row r="23" spans="1:30" x14ac:dyDescent="0.3">
      <c r="A23" t="s">
        <v>38</v>
      </c>
      <c r="C23" s="1">
        <f>MIN(C4:C20)</f>
        <v>6.9</v>
      </c>
      <c r="D23" s="3">
        <f>MIN(D4:D20)</f>
        <v>29</v>
      </c>
      <c r="E23" s="1">
        <f t="shared" ref="E23:J23" si="26">MIN(E4:E20)</f>
        <v>22</v>
      </c>
      <c r="F23" s="3">
        <f t="shared" si="26"/>
        <v>33</v>
      </c>
      <c r="G23" s="1">
        <f t="shared" si="26"/>
        <v>20</v>
      </c>
      <c r="H23" s="3">
        <f t="shared" si="26"/>
        <v>18</v>
      </c>
      <c r="I23" s="1">
        <f t="shared" si="26"/>
        <v>0</v>
      </c>
      <c r="J23" s="3">
        <f t="shared" si="26"/>
        <v>0</v>
      </c>
      <c r="K23" s="1">
        <f t="shared" ref="K23:AB23" si="27">MIN(K4:K20)</f>
        <v>0</v>
      </c>
      <c r="L23" s="3">
        <f t="shared" si="27"/>
        <v>0</v>
      </c>
      <c r="M23" s="1">
        <f t="shared" si="27"/>
        <v>0</v>
      </c>
      <c r="N23" s="3">
        <f t="shared" si="27"/>
        <v>269.10000000000002</v>
      </c>
      <c r="O23" s="1">
        <f t="shared" si="27"/>
        <v>358.8</v>
      </c>
      <c r="P23" s="3">
        <f t="shared" si="27"/>
        <v>289.8</v>
      </c>
      <c r="Q23" s="1">
        <f t="shared" si="27"/>
        <v>276</v>
      </c>
      <c r="R23" s="3">
        <f t="shared" si="27"/>
        <v>276</v>
      </c>
      <c r="S23" s="1">
        <f t="shared" si="27"/>
        <v>0</v>
      </c>
      <c r="T23" s="3">
        <f t="shared" si="27"/>
        <v>0</v>
      </c>
      <c r="U23" s="1">
        <f t="shared" si="27"/>
        <v>0</v>
      </c>
      <c r="V23" s="3">
        <f t="shared" si="27"/>
        <v>0</v>
      </c>
      <c r="W23" s="1">
        <f t="shared" si="27"/>
        <v>0</v>
      </c>
      <c r="X23" s="3">
        <f t="shared" si="27"/>
        <v>269.10000000000002</v>
      </c>
      <c r="Y23" s="1">
        <f t="shared" si="27"/>
        <v>385</v>
      </c>
      <c r="Z23" s="3">
        <f t="shared" si="27"/>
        <v>329.15999999999997</v>
      </c>
      <c r="AA23" s="1">
        <f t="shared" si="27"/>
        <v>276</v>
      </c>
      <c r="AB23" s="3">
        <f t="shared" si="27"/>
        <v>276</v>
      </c>
      <c r="AD23" s="3">
        <f t="shared" ref="AD23" si="28">MIN(AD4:AD20)</f>
        <v>1755.7</v>
      </c>
    </row>
    <row r="24" spans="1:30" x14ac:dyDescent="0.3">
      <c r="A24" t="s">
        <v>40</v>
      </c>
      <c r="C24" s="1">
        <f>AVERAGE(C4:C20)</f>
        <v>16.484705882352941</v>
      </c>
      <c r="D24" s="3">
        <f>AVERAGE(D4:D20)</f>
        <v>40.882352941176471</v>
      </c>
      <c r="E24" s="1">
        <f t="shared" ref="E24:J24" si="29">AVERAGE(E4:E20)</f>
        <v>45.117647058823529</v>
      </c>
      <c r="F24" s="3">
        <f t="shared" si="29"/>
        <v>41.529411764705884</v>
      </c>
      <c r="G24" s="1">
        <f t="shared" si="29"/>
        <v>37.588235294117645</v>
      </c>
      <c r="H24" s="3">
        <f t="shared" si="29"/>
        <v>37.411764705882355</v>
      </c>
      <c r="I24" s="1">
        <f t="shared" si="29"/>
        <v>2.0588235294117645</v>
      </c>
      <c r="J24" s="3">
        <f t="shared" si="29"/>
        <v>6.1764705882352944</v>
      </c>
      <c r="K24" s="1">
        <f t="shared" ref="K24:AB24" si="30">AVERAGE(K4:K20)</f>
        <v>2.1764705882352939</v>
      </c>
      <c r="L24" s="3">
        <f t="shared" si="30"/>
        <v>0.29411764705882354</v>
      </c>
      <c r="M24" s="1">
        <f t="shared" si="30"/>
        <v>1.1176470588235294</v>
      </c>
      <c r="N24" s="3">
        <f t="shared" si="30"/>
        <v>678.36470588235295</v>
      </c>
      <c r="O24" s="1">
        <f t="shared" si="30"/>
        <v>769.88941176470587</v>
      </c>
      <c r="P24" s="3">
        <f t="shared" si="30"/>
        <v>682.82117647058828</v>
      </c>
      <c r="Q24" s="1">
        <f t="shared" si="30"/>
        <v>609.86235294117648</v>
      </c>
      <c r="R24" s="3">
        <f t="shared" si="30"/>
        <v>609.86470588235295</v>
      </c>
      <c r="S24" s="1">
        <f t="shared" si="30"/>
        <v>18.932352941176472</v>
      </c>
      <c r="T24" s="3">
        <f t="shared" si="30"/>
        <v>131.2294117647059</v>
      </c>
      <c r="U24" s="1">
        <f t="shared" si="30"/>
        <v>42.470588235294116</v>
      </c>
      <c r="V24" s="3">
        <f t="shared" si="30"/>
        <v>6.0294117647058822</v>
      </c>
      <c r="W24" s="1">
        <f t="shared" si="30"/>
        <v>17.86470588235294</v>
      </c>
      <c r="X24" s="3">
        <f t="shared" si="30"/>
        <v>697.29705882352937</v>
      </c>
      <c r="Y24" s="1">
        <f t="shared" si="30"/>
        <v>901.11882352941177</v>
      </c>
      <c r="Z24" s="3">
        <f t="shared" si="30"/>
        <v>725.29176470588231</v>
      </c>
      <c r="AA24" s="1">
        <f t="shared" si="30"/>
        <v>615.89176470588234</v>
      </c>
      <c r="AB24" s="3">
        <f t="shared" si="30"/>
        <v>627.72941176470601</v>
      </c>
      <c r="AD24" s="3">
        <f t="shared" ref="AD24" si="31">AVERAGE(AD4:AD20)</f>
        <v>3567.3288235294126</v>
      </c>
    </row>
    <row r="25" spans="1:30" x14ac:dyDescent="0.3">
      <c r="A25" t="s">
        <v>39</v>
      </c>
      <c r="C25" s="1">
        <f>SUM(C4:C20)</f>
        <v>280.24</v>
      </c>
      <c r="D25" s="3">
        <f t="shared" ref="D25:E25" si="32">SUM(D4:D20)</f>
        <v>695</v>
      </c>
      <c r="E25" s="1">
        <f t="shared" si="32"/>
        <v>767</v>
      </c>
      <c r="F25" s="3">
        <f t="shared" ref="F25:K25" si="33">SUM(F4:F20)</f>
        <v>706</v>
      </c>
      <c r="G25" s="1">
        <f t="shared" si="33"/>
        <v>639</v>
      </c>
      <c r="H25" s="3">
        <f t="shared" si="33"/>
        <v>636</v>
      </c>
      <c r="I25" s="1">
        <f t="shared" si="33"/>
        <v>35</v>
      </c>
      <c r="J25" s="3">
        <f t="shared" si="33"/>
        <v>105</v>
      </c>
      <c r="K25" s="1">
        <f t="shared" si="33"/>
        <v>37</v>
      </c>
      <c r="L25" s="3">
        <f t="shared" ref="L25:AB25" si="34">SUM(L4:L20)</f>
        <v>5</v>
      </c>
      <c r="M25" s="1">
        <f t="shared" si="34"/>
        <v>19</v>
      </c>
      <c r="N25" s="3">
        <f t="shared" si="34"/>
        <v>11532.2</v>
      </c>
      <c r="O25" s="1">
        <f t="shared" si="34"/>
        <v>13088.119999999999</v>
      </c>
      <c r="P25" s="3">
        <f t="shared" si="34"/>
        <v>11607.960000000001</v>
      </c>
      <c r="Q25" s="1">
        <f t="shared" si="34"/>
        <v>10367.66</v>
      </c>
      <c r="R25" s="3">
        <f t="shared" si="34"/>
        <v>10367.700000000001</v>
      </c>
      <c r="S25" s="1">
        <f t="shared" si="34"/>
        <v>321.85000000000002</v>
      </c>
      <c r="T25" s="3">
        <f t="shared" si="34"/>
        <v>2230.9</v>
      </c>
      <c r="U25" s="1">
        <f t="shared" si="34"/>
        <v>722</v>
      </c>
      <c r="V25" s="3">
        <f t="shared" si="34"/>
        <v>102.5</v>
      </c>
      <c r="W25" s="1">
        <f t="shared" si="34"/>
        <v>303.7</v>
      </c>
      <c r="X25" s="3">
        <f t="shared" si="34"/>
        <v>11854.05</v>
      </c>
      <c r="Y25" s="1">
        <f t="shared" si="34"/>
        <v>15319.02</v>
      </c>
      <c r="Z25" s="3">
        <f t="shared" si="34"/>
        <v>12329.96</v>
      </c>
      <c r="AA25" s="1">
        <f t="shared" si="34"/>
        <v>10470.16</v>
      </c>
      <c r="AB25" s="3">
        <f t="shared" si="34"/>
        <v>10671.400000000001</v>
      </c>
      <c r="AD25" s="3">
        <f t="shared" ref="AD25" si="35">SUM(AD4:AD20)</f>
        <v>60644.590000000011</v>
      </c>
    </row>
    <row r="34" spans="10:10" x14ac:dyDescent="0.3">
      <c r="J34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FC4B-49C3-4B6D-BDBF-47BBA35BB0A4}">
  <dimension ref="A1:N24"/>
  <sheetViews>
    <sheetView tabSelected="1" zoomScale="92" zoomScaleNormal="92" workbookViewId="0">
      <selection activeCell="N5" sqref="N5"/>
    </sheetView>
  </sheetViews>
  <sheetFormatPr defaultRowHeight="14.4" x14ac:dyDescent="0.3"/>
  <cols>
    <col min="1" max="1" width="10.44140625" bestFit="1" customWidth="1"/>
    <col min="2" max="2" width="13.77734375" bestFit="1" customWidth="1"/>
    <col min="3" max="3" width="13.77734375" hidden="1" customWidth="1"/>
    <col min="4" max="4" width="5.44140625" bestFit="1" customWidth="1"/>
    <col min="5" max="5" width="7.6640625" bestFit="1" customWidth="1"/>
    <col min="6" max="6" width="5.77734375" bestFit="1" customWidth="1"/>
    <col min="7" max="7" width="5.44140625" bestFit="1" customWidth="1"/>
    <col min="9" max="9" width="5.44140625" style="16" bestFit="1" customWidth="1"/>
    <col min="10" max="10" width="7.6640625" style="16" bestFit="1" customWidth="1"/>
    <col min="11" max="12" width="5.44140625" style="16" bestFit="1" customWidth="1"/>
  </cols>
  <sheetData>
    <row r="1" spans="1:14" ht="95.4" x14ac:dyDescent="0.3">
      <c r="A1" t="s">
        <v>45</v>
      </c>
      <c r="D1" s="17" t="s">
        <v>46</v>
      </c>
      <c r="E1" s="17" t="s">
        <v>47</v>
      </c>
      <c r="F1" s="17" t="s">
        <v>48</v>
      </c>
      <c r="G1" s="17" t="s">
        <v>49</v>
      </c>
      <c r="H1" s="17"/>
      <c r="I1" s="18" t="s">
        <v>46</v>
      </c>
      <c r="J1" s="18" t="s">
        <v>47</v>
      </c>
      <c r="K1" s="18" t="s">
        <v>48</v>
      </c>
      <c r="L1" s="18" t="s">
        <v>49</v>
      </c>
      <c r="M1" s="2"/>
      <c r="N1" s="18" t="s">
        <v>51</v>
      </c>
    </row>
    <row r="2" spans="1:14" x14ac:dyDescent="0.3">
      <c r="B2" t="s">
        <v>50</v>
      </c>
      <c r="D2">
        <v>10</v>
      </c>
      <c r="E2">
        <v>20</v>
      </c>
      <c r="F2">
        <v>100</v>
      </c>
      <c r="G2">
        <v>1</v>
      </c>
    </row>
    <row r="3" spans="1:14" x14ac:dyDescent="0.3">
      <c r="A3" s="2" t="s">
        <v>1</v>
      </c>
      <c r="B3" s="2" t="s">
        <v>2</v>
      </c>
    </row>
    <row r="4" spans="1:14" x14ac:dyDescent="0.3">
      <c r="A4" t="s">
        <v>5</v>
      </c>
      <c r="B4" t="s">
        <v>4</v>
      </c>
      <c r="D4">
        <v>10</v>
      </c>
      <c r="E4">
        <v>19</v>
      </c>
      <c r="F4">
        <v>93</v>
      </c>
      <c r="G4">
        <v>1</v>
      </c>
      <c r="I4" s="16">
        <f t="shared" ref="I4:I20" si="0">D4/D$2</f>
        <v>1</v>
      </c>
      <c r="J4" s="16">
        <f t="shared" ref="J4:J20" si="1">E4/E$2</f>
        <v>0.95</v>
      </c>
      <c r="K4" s="16">
        <f t="shared" ref="K4:K20" si="2">F4/F$2</f>
        <v>0.93</v>
      </c>
      <c r="L4" s="16">
        <f t="shared" ref="L4:L20" si="3">G4/G$2</f>
        <v>1</v>
      </c>
      <c r="N4" s="16" t="b">
        <f>OR(I4&lt;0.5,J4&lt;0.5,K4&lt;0.5,L4&lt;0.5)</f>
        <v>0</v>
      </c>
    </row>
    <row r="5" spans="1:14" x14ac:dyDescent="0.3">
      <c r="A5" t="s">
        <v>6</v>
      </c>
      <c r="B5" t="s">
        <v>7</v>
      </c>
      <c r="D5">
        <v>9</v>
      </c>
      <c r="E5">
        <v>20</v>
      </c>
      <c r="F5">
        <v>100</v>
      </c>
      <c r="G5">
        <v>1</v>
      </c>
      <c r="I5" s="16">
        <f t="shared" si="0"/>
        <v>0.9</v>
      </c>
      <c r="J5" s="16">
        <f t="shared" si="1"/>
        <v>1</v>
      </c>
      <c r="K5" s="16">
        <f t="shared" si="2"/>
        <v>1</v>
      </c>
      <c r="L5" s="16">
        <f t="shared" si="3"/>
        <v>1</v>
      </c>
      <c r="N5" s="16" t="b">
        <f t="shared" ref="N5:N20" si="4">OR(I5&lt;0.5,J5&lt;0.5,K5&lt;0.5,L5&lt;0.5)</f>
        <v>0</v>
      </c>
    </row>
    <row r="6" spans="1:14" x14ac:dyDescent="0.3">
      <c r="A6" t="s">
        <v>8</v>
      </c>
      <c r="B6" t="s">
        <v>9</v>
      </c>
      <c r="D6">
        <v>8</v>
      </c>
      <c r="E6">
        <v>17</v>
      </c>
      <c r="F6">
        <v>82</v>
      </c>
      <c r="G6">
        <v>1</v>
      </c>
      <c r="I6" s="16">
        <f t="shared" si="0"/>
        <v>0.8</v>
      </c>
      <c r="J6" s="16">
        <f t="shared" si="1"/>
        <v>0.85</v>
      </c>
      <c r="K6" s="16">
        <f t="shared" si="2"/>
        <v>0.82</v>
      </c>
      <c r="L6" s="16">
        <f t="shared" si="3"/>
        <v>1</v>
      </c>
      <c r="N6" s="16" t="b">
        <f t="shared" si="4"/>
        <v>0</v>
      </c>
    </row>
    <row r="7" spans="1:14" x14ac:dyDescent="0.3">
      <c r="A7" t="s">
        <v>10</v>
      </c>
      <c r="B7" t="s">
        <v>11</v>
      </c>
      <c r="D7">
        <v>9</v>
      </c>
      <c r="E7">
        <v>10</v>
      </c>
      <c r="F7">
        <v>73</v>
      </c>
      <c r="G7">
        <v>1</v>
      </c>
      <c r="I7" s="16">
        <f t="shared" si="0"/>
        <v>0.9</v>
      </c>
      <c r="J7" s="16">
        <f t="shared" si="1"/>
        <v>0.5</v>
      </c>
      <c r="K7" s="16">
        <f t="shared" si="2"/>
        <v>0.73</v>
      </c>
      <c r="L7" s="16">
        <f t="shared" si="3"/>
        <v>1</v>
      </c>
      <c r="N7" s="16" t="b">
        <f t="shared" si="4"/>
        <v>0</v>
      </c>
    </row>
    <row r="8" spans="1:14" x14ac:dyDescent="0.3">
      <c r="A8" t="s">
        <v>13</v>
      </c>
      <c r="B8" t="s">
        <v>12</v>
      </c>
      <c r="D8">
        <v>10</v>
      </c>
      <c r="E8">
        <v>20</v>
      </c>
      <c r="F8">
        <v>59</v>
      </c>
      <c r="G8">
        <v>1</v>
      </c>
      <c r="I8" s="16">
        <f t="shared" si="0"/>
        <v>1</v>
      </c>
      <c r="J8" s="16">
        <f t="shared" si="1"/>
        <v>1</v>
      </c>
      <c r="K8" s="16">
        <f t="shared" si="2"/>
        <v>0.59</v>
      </c>
      <c r="L8" s="16">
        <f t="shared" si="3"/>
        <v>1</v>
      </c>
      <c r="N8" s="16" t="b">
        <f t="shared" si="4"/>
        <v>0</v>
      </c>
    </row>
    <row r="9" spans="1:14" x14ac:dyDescent="0.3">
      <c r="A9" t="s">
        <v>15</v>
      </c>
      <c r="B9" t="s">
        <v>14</v>
      </c>
      <c r="D9">
        <v>9</v>
      </c>
      <c r="E9">
        <v>17</v>
      </c>
      <c r="F9">
        <v>100</v>
      </c>
      <c r="G9">
        <v>1</v>
      </c>
      <c r="I9" s="16">
        <f t="shared" si="0"/>
        <v>0.9</v>
      </c>
      <c r="J9" s="16">
        <f t="shared" si="1"/>
        <v>0.85</v>
      </c>
      <c r="K9" s="16">
        <f t="shared" si="2"/>
        <v>1</v>
      </c>
      <c r="L9" s="16">
        <f t="shared" si="3"/>
        <v>1</v>
      </c>
      <c r="N9" s="16" t="b">
        <f t="shared" si="4"/>
        <v>0</v>
      </c>
    </row>
    <row r="10" spans="1:14" x14ac:dyDescent="0.3">
      <c r="A10" t="s">
        <v>16</v>
      </c>
      <c r="B10" t="s">
        <v>17</v>
      </c>
      <c r="D10">
        <v>8</v>
      </c>
      <c r="E10">
        <v>20</v>
      </c>
      <c r="F10">
        <v>100</v>
      </c>
      <c r="G10">
        <v>0</v>
      </c>
      <c r="I10" s="16">
        <f t="shared" si="0"/>
        <v>0.8</v>
      </c>
      <c r="J10" s="16">
        <f t="shared" si="1"/>
        <v>1</v>
      </c>
      <c r="K10" s="16">
        <f t="shared" si="2"/>
        <v>1</v>
      </c>
      <c r="L10" s="16">
        <f t="shared" si="3"/>
        <v>0</v>
      </c>
      <c r="N10" s="16" t="b">
        <f t="shared" si="4"/>
        <v>1</v>
      </c>
    </row>
    <row r="11" spans="1:14" x14ac:dyDescent="0.3">
      <c r="A11" t="s">
        <v>18</v>
      </c>
      <c r="B11" t="s">
        <v>19</v>
      </c>
      <c r="D11">
        <v>5</v>
      </c>
      <c r="E11">
        <v>6</v>
      </c>
      <c r="F11">
        <v>100</v>
      </c>
      <c r="G11">
        <v>1</v>
      </c>
      <c r="I11" s="16">
        <f t="shared" si="0"/>
        <v>0.5</v>
      </c>
      <c r="J11" s="16">
        <f t="shared" si="1"/>
        <v>0.3</v>
      </c>
      <c r="K11" s="16">
        <f t="shared" si="2"/>
        <v>1</v>
      </c>
      <c r="L11" s="16">
        <f t="shared" si="3"/>
        <v>1</v>
      </c>
      <c r="N11" s="16" t="b">
        <f t="shared" si="4"/>
        <v>1</v>
      </c>
    </row>
    <row r="12" spans="1:14" x14ac:dyDescent="0.3">
      <c r="A12" t="s">
        <v>21</v>
      </c>
      <c r="B12" t="s">
        <v>20</v>
      </c>
      <c r="D12">
        <v>10</v>
      </c>
      <c r="E12">
        <v>20</v>
      </c>
      <c r="F12">
        <v>67</v>
      </c>
      <c r="G12">
        <v>1</v>
      </c>
      <c r="I12" s="16">
        <f t="shared" si="0"/>
        <v>1</v>
      </c>
      <c r="J12" s="16">
        <f t="shared" si="1"/>
        <v>1</v>
      </c>
      <c r="K12" s="16">
        <f t="shared" si="2"/>
        <v>0.67</v>
      </c>
      <c r="L12" s="16">
        <f t="shared" si="3"/>
        <v>1</v>
      </c>
      <c r="N12" s="16" t="b">
        <f t="shared" si="4"/>
        <v>0</v>
      </c>
    </row>
    <row r="13" spans="1:14" x14ac:dyDescent="0.3">
      <c r="A13" t="s">
        <v>23</v>
      </c>
      <c r="B13" t="s">
        <v>22</v>
      </c>
      <c r="D13">
        <v>9</v>
      </c>
      <c r="E13">
        <v>20</v>
      </c>
      <c r="F13">
        <v>70</v>
      </c>
      <c r="G13">
        <v>1</v>
      </c>
      <c r="I13" s="16">
        <f t="shared" si="0"/>
        <v>0.9</v>
      </c>
      <c r="J13" s="16">
        <f t="shared" si="1"/>
        <v>1</v>
      </c>
      <c r="K13" s="16">
        <f t="shared" si="2"/>
        <v>0.7</v>
      </c>
      <c r="L13" s="16">
        <f t="shared" si="3"/>
        <v>1</v>
      </c>
      <c r="N13" s="16" t="b">
        <f t="shared" si="4"/>
        <v>0</v>
      </c>
    </row>
    <row r="14" spans="1:14" x14ac:dyDescent="0.3">
      <c r="A14" t="s">
        <v>21</v>
      </c>
      <c r="B14" t="s">
        <v>24</v>
      </c>
      <c r="D14">
        <v>10</v>
      </c>
      <c r="E14">
        <v>19</v>
      </c>
      <c r="F14">
        <v>80</v>
      </c>
      <c r="G14">
        <v>1</v>
      </c>
      <c r="I14" s="16">
        <f t="shared" si="0"/>
        <v>1</v>
      </c>
      <c r="J14" s="16">
        <f t="shared" si="1"/>
        <v>0.95</v>
      </c>
      <c r="K14" s="16">
        <f t="shared" si="2"/>
        <v>0.8</v>
      </c>
      <c r="L14" s="16">
        <f t="shared" si="3"/>
        <v>1</v>
      </c>
      <c r="N14" s="16" t="b">
        <f t="shared" si="4"/>
        <v>0</v>
      </c>
    </row>
    <row r="15" spans="1:14" x14ac:dyDescent="0.3">
      <c r="A15" t="s">
        <v>26</v>
      </c>
      <c r="B15" t="s">
        <v>25</v>
      </c>
      <c r="D15">
        <v>8</v>
      </c>
      <c r="E15">
        <v>17</v>
      </c>
      <c r="F15">
        <v>90</v>
      </c>
      <c r="G15">
        <v>1</v>
      </c>
      <c r="I15" s="16">
        <f t="shared" si="0"/>
        <v>0.8</v>
      </c>
      <c r="J15" s="16">
        <f t="shared" si="1"/>
        <v>0.85</v>
      </c>
      <c r="K15" s="16">
        <f t="shared" si="2"/>
        <v>0.9</v>
      </c>
      <c r="L15" s="16">
        <f t="shared" si="3"/>
        <v>1</v>
      </c>
      <c r="N15" s="16" t="b">
        <f t="shared" si="4"/>
        <v>0</v>
      </c>
    </row>
    <row r="16" spans="1:14" x14ac:dyDescent="0.3">
      <c r="A16" t="s">
        <v>28</v>
      </c>
      <c r="B16" t="s">
        <v>27</v>
      </c>
      <c r="D16">
        <v>9</v>
      </c>
      <c r="E16">
        <v>19</v>
      </c>
      <c r="F16">
        <v>45</v>
      </c>
      <c r="G16">
        <v>0</v>
      </c>
      <c r="I16" s="16">
        <f t="shared" si="0"/>
        <v>0.9</v>
      </c>
      <c r="J16" s="16">
        <f t="shared" si="1"/>
        <v>0.95</v>
      </c>
      <c r="K16" s="16">
        <f t="shared" si="2"/>
        <v>0.45</v>
      </c>
      <c r="L16" s="16">
        <f t="shared" si="3"/>
        <v>0</v>
      </c>
      <c r="N16" s="16" t="b">
        <f t="shared" si="4"/>
        <v>1</v>
      </c>
    </row>
    <row r="17" spans="1:14" x14ac:dyDescent="0.3">
      <c r="A17" t="s">
        <v>23</v>
      </c>
      <c r="B17" t="s">
        <v>29</v>
      </c>
      <c r="D17">
        <v>7</v>
      </c>
      <c r="E17">
        <v>20</v>
      </c>
      <c r="F17">
        <v>90</v>
      </c>
      <c r="G17">
        <v>1</v>
      </c>
      <c r="I17" s="16">
        <f t="shared" si="0"/>
        <v>0.7</v>
      </c>
      <c r="J17" s="16">
        <f t="shared" si="1"/>
        <v>1</v>
      </c>
      <c r="K17" s="16">
        <f t="shared" si="2"/>
        <v>0.9</v>
      </c>
      <c r="L17" s="16">
        <f t="shared" si="3"/>
        <v>1</v>
      </c>
      <c r="N17" s="16" t="b">
        <f t="shared" si="4"/>
        <v>0</v>
      </c>
    </row>
    <row r="18" spans="1:14" x14ac:dyDescent="0.3">
      <c r="A18" t="s">
        <v>30</v>
      </c>
      <c r="B18" t="s">
        <v>4</v>
      </c>
      <c r="D18">
        <v>10</v>
      </c>
      <c r="E18">
        <v>10</v>
      </c>
      <c r="F18">
        <v>80</v>
      </c>
      <c r="G18">
        <v>1</v>
      </c>
      <c r="I18" s="16">
        <f t="shared" si="0"/>
        <v>1</v>
      </c>
      <c r="J18" s="16">
        <f t="shared" si="1"/>
        <v>0.5</v>
      </c>
      <c r="K18" s="16">
        <f t="shared" si="2"/>
        <v>0.8</v>
      </c>
      <c r="L18" s="16">
        <f t="shared" si="3"/>
        <v>1</v>
      </c>
      <c r="N18" s="16" t="b">
        <f t="shared" si="4"/>
        <v>0</v>
      </c>
    </row>
    <row r="19" spans="1:14" x14ac:dyDescent="0.3">
      <c r="A19" t="s">
        <v>31</v>
      </c>
      <c r="B19" t="s">
        <v>32</v>
      </c>
      <c r="D19">
        <v>11</v>
      </c>
      <c r="E19">
        <v>20</v>
      </c>
      <c r="F19">
        <v>69</v>
      </c>
      <c r="G19">
        <v>1</v>
      </c>
      <c r="I19" s="16">
        <f t="shared" si="0"/>
        <v>1.1000000000000001</v>
      </c>
      <c r="J19" s="16">
        <f t="shared" si="1"/>
        <v>1</v>
      </c>
      <c r="K19" s="16">
        <f t="shared" si="2"/>
        <v>0.69</v>
      </c>
      <c r="L19" s="16">
        <f t="shared" si="3"/>
        <v>1</v>
      </c>
      <c r="N19" s="16" t="b">
        <f t="shared" si="4"/>
        <v>0</v>
      </c>
    </row>
    <row r="20" spans="1:14" x14ac:dyDescent="0.3">
      <c r="A20" t="s">
        <v>33</v>
      </c>
      <c r="B20" t="s">
        <v>34</v>
      </c>
      <c r="D20">
        <v>10</v>
      </c>
      <c r="E20">
        <v>14</v>
      </c>
      <c r="F20">
        <v>90</v>
      </c>
      <c r="G20">
        <v>1</v>
      </c>
      <c r="I20" s="16">
        <f t="shared" si="0"/>
        <v>1</v>
      </c>
      <c r="J20" s="16">
        <f t="shared" si="1"/>
        <v>0.7</v>
      </c>
      <c r="K20" s="16">
        <f t="shared" si="2"/>
        <v>0.9</v>
      </c>
      <c r="L20" s="16">
        <f t="shared" si="3"/>
        <v>1</v>
      </c>
      <c r="N20" s="16" t="b">
        <f t="shared" si="4"/>
        <v>0</v>
      </c>
    </row>
    <row r="22" spans="1:14" x14ac:dyDescent="0.3">
      <c r="A22" t="s">
        <v>52</v>
      </c>
      <c r="D22">
        <f>MAX(D4:D20)</f>
        <v>11</v>
      </c>
      <c r="E22">
        <f>MAX(E4:E20)</f>
        <v>20</v>
      </c>
      <c r="F22">
        <f>MAX(F4:F20)</f>
        <v>100</v>
      </c>
      <c r="G22">
        <f>MAX(G4:G20)</f>
        <v>1</v>
      </c>
      <c r="I22">
        <f>MAX(I4:I20)</f>
        <v>1.1000000000000001</v>
      </c>
      <c r="J22">
        <f>MAX(J4:J20)</f>
        <v>1</v>
      </c>
      <c r="K22">
        <f>MAX(K4:K20)</f>
        <v>1</v>
      </c>
      <c r="L22">
        <f>MAX(L4:L20)</f>
        <v>1</v>
      </c>
    </row>
    <row r="23" spans="1:14" x14ac:dyDescent="0.3">
      <c r="A23" t="s">
        <v>53</v>
      </c>
      <c r="D23">
        <f>MIN(D4:D20)</f>
        <v>5</v>
      </c>
      <c r="E23">
        <f>MIN(E4:E20)</f>
        <v>6</v>
      </c>
      <c r="F23">
        <f>MIN(F4:F20)</f>
        <v>45</v>
      </c>
      <c r="G23">
        <f>MIN(G4:G20)</f>
        <v>0</v>
      </c>
      <c r="I23">
        <f>MIN(I4:I20)</f>
        <v>0.5</v>
      </c>
      <c r="J23">
        <f>MIN(J4:J20)</f>
        <v>0.3</v>
      </c>
      <c r="K23">
        <f>MIN(K4:K20)</f>
        <v>0.45</v>
      </c>
      <c r="L23">
        <f>MIN(L4:L20)</f>
        <v>0</v>
      </c>
    </row>
    <row r="24" spans="1:14" x14ac:dyDescent="0.3">
      <c r="A24" t="s">
        <v>54</v>
      </c>
      <c r="D24">
        <f>AVERAGE(D4:D20)</f>
        <v>8.9411764705882355</v>
      </c>
      <c r="E24">
        <f>AVERAGE(E4:E20)</f>
        <v>16.941176470588236</v>
      </c>
      <c r="F24">
        <f>AVERAGE(F4:F20)</f>
        <v>81.647058823529406</v>
      </c>
      <c r="G24">
        <f>AVERAGE(G4:G20)</f>
        <v>0.88235294117647056</v>
      </c>
      <c r="I24">
        <f>AVERAGE(I4:I20)</f>
        <v>0.89411764705882346</v>
      </c>
      <c r="J24">
        <f>AVERAGE(J4:J20)</f>
        <v>0.84705882352941153</v>
      </c>
      <c r="K24">
        <f>AVERAGE(K4:K20)</f>
        <v>0.81647058823529417</v>
      </c>
      <c r="L24">
        <f>AVERAGE(L4:L20)</f>
        <v>0.88235294117647056</v>
      </c>
    </row>
  </sheetData>
  <conditionalFormatting sqref="D4:D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G4:G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4:L20 N4:N20">
    <cfRule type="cellIs" dxfId="1" priority="2" operator="lessThan">
      <formula>0.5</formula>
    </cfRule>
  </conditionalFormatting>
  <conditionalFormatting sqref="N4:N20">
    <cfRule type="cellIs" dxfId="0" priority="1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60B1-EC95-4111-8FEA-63D92339ADDC}">
  <dimension ref="A1"/>
  <sheetViews>
    <sheetView workbookViewId="0">
      <selection activeCell="C9" sqref="C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</vt:lpstr>
      <vt:lpstr>Gradebook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Talawadekar</dc:creator>
  <cp:lastModifiedBy>Dnyaneshwari Katkar</cp:lastModifiedBy>
  <dcterms:created xsi:type="dcterms:W3CDTF">2026-07-19T07:22:58Z</dcterms:created>
  <dcterms:modified xsi:type="dcterms:W3CDTF">2026-07-26T17:24:24Z</dcterms:modified>
</cp:coreProperties>
</file>